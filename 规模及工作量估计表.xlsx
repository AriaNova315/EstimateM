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gaoyiman/Desktop/Code/5000B/高蕾/"/>
    </mc:Choice>
  </mc:AlternateContent>
  <xr:revisionPtr revIDLastSave="0" documentId="13_ncr:1_{A8CAA946-1FAA-A845-84DB-A2EBE20389D9}" xr6:coauthVersionLast="47" xr6:coauthVersionMax="47" xr10:uidLastSave="{00000000-0000-0000-0000-000000000000}"/>
  <bookViews>
    <workbookView xWindow="0" yWindow="740" windowWidth="30240" windowHeight="18900" tabRatio="847" activeTab="6" xr2:uid="{00000000-000D-0000-FFFF-FFFF00000000}"/>
  </bookViews>
  <sheets>
    <sheet name="文档规模及工作量估计ok" sheetId="1" r:id="rId1"/>
    <sheet name="代码规模及工作量估计" sheetId="6" r:id="rId2"/>
    <sheet name="汇总表(文档相关)ok" sheetId="2" r:id="rId3"/>
    <sheet name="汇总表(代码相关)" sheetId="7" r:id="rId4"/>
    <sheet name="配置管理工作量估计ok" sheetId="8" r:id="rId5"/>
    <sheet name="质量保证工作量估计ok" sheetId="9" r:id="rId6"/>
    <sheet name="其他管理类工作量估计ok" sheetId="10" r:id="rId7"/>
    <sheet name="评审工作量" sheetId="11" r:id="rId8"/>
    <sheet name="规模估计结果报告" sheetId="4" r:id="rId9"/>
    <sheet name="工作量估计结果报告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4" l="1"/>
  <c r="G27" i="4"/>
  <c r="G28" i="4"/>
  <c r="G25" i="4"/>
  <c r="D22" i="8" l="1"/>
  <c r="D12" i="8"/>
  <c r="S15" i="6"/>
  <c r="G15" i="6"/>
  <c r="S39" i="6"/>
  <c r="G39" i="6"/>
  <c r="G37" i="6"/>
  <c r="S37" i="6"/>
  <c r="S38" i="6"/>
  <c r="G38" i="6"/>
  <c r="S14" i="6"/>
  <c r="G14" i="6"/>
  <c r="C9" i="7"/>
  <c r="B26" i="4" s="1"/>
  <c r="C10" i="7"/>
  <c r="B27" i="4" s="1"/>
  <c r="C11" i="7"/>
  <c r="B28" i="4" s="1"/>
  <c r="C8" i="7"/>
  <c r="B25" i="4" s="1"/>
  <c r="S36" i="6" l="1"/>
  <c r="G36" i="6"/>
  <c r="S13" i="6"/>
  <c r="S12" i="6"/>
  <c r="G13" i="6"/>
  <c r="G12" i="6"/>
  <c r="B35" i="2" l="1"/>
  <c r="B59" i="2" s="1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45" i="2" s="1"/>
  <c r="B22" i="2"/>
  <c r="B46" i="2" s="1"/>
  <c r="B23" i="2"/>
  <c r="B47" i="2" s="1"/>
  <c r="B24" i="2"/>
  <c r="B48" i="2" s="1"/>
  <c r="B25" i="2"/>
  <c r="B49" i="2" s="1"/>
  <c r="B26" i="2"/>
  <c r="B50" i="2" s="1"/>
  <c r="B27" i="2"/>
  <c r="B51" i="2" s="1"/>
  <c r="B28" i="2"/>
  <c r="B52" i="2" s="1"/>
  <c r="B29" i="2"/>
  <c r="B53" i="2" s="1"/>
  <c r="B30" i="2"/>
  <c r="B54" i="2" s="1"/>
  <c r="B31" i="2"/>
  <c r="B55" i="2" s="1"/>
  <c r="B32" i="2"/>
  <c r="B56" i="2" s="1"/>
  <c r="B33" i="2"/>
  <c r="B57" i="2" s="1"/>
  <c r="B34" i="2"/>
  <c r="B58" i="2" s="1"/>
  <c r="B8" i="2"/>
  <c r="S9" i="1"/>
  <c r="S10" i="1"/>
  <c r="S11" i="1"/>
  <c r="S13" i="1"/>
  <c r="S14" i="1"/>
  <c r="S15" i="1"/>
  <c r="S16" i="1"/>
  <c r="S17" i="1"/>
  <c r="S19" i="1"/>
  <c r="S20" i="1"/>
  <c r="S8" i="1"/>
  <c r="S51" i="1"/>
  <c r="S52" i="1"/>
  <c r="S53" i="1"/>
  <c r="S54" i="1"/>
  <c r="S55" i="1"/>
  <c r="S56" i="1"/>
  <c r="S57" i="1"/>
  <c r="S58" i="1"/>
  <c r="S61" i="1"/>
  <c r="S62" i="1"/>
  <c r="S50" i="1"/>
  <c r="G51" i="1"/>
  <c r="G52" i="1"/>
  <c r="G53" i="1"/>
  <c r="G56" i="1"/>
  <c r="G57" i="1"/>
  <c r="G58" i="1"/>
  <c r="G61" i="1"/>
  <c r="G62" i="1"/>
  <c r="G50" i="1"/>
  <c r="G20" i="1"/>
  <c r="G9" i="1"/>
  <c r="G10" i="1"/>
  <c r="G11" i="1"/>
  <c r="G12" i="1"/>
  <c r="G13" i="1"/>
  <c r="G15" i="1"/>
  <c r="G16" i="1"/>
  <c r="G19" i="1"/>
  <c r="G8" i="1"/>
  <c r="C21" i="10" l="1"/>
  <c r="C20" i="10"/>
  <c r="C19" i="10"/>
  <c r="B40" i="5"/>
  <c r="B41" i="5"/>
  <c r="B42" i="5"/>
  <c r="B39" i="5"/>
  <c r="C22" i="10" l="1"/>
  <c r="B25" i="5"/>
  <c r="B26" i="5"/>
  <c r="B21" i="5"/>
  <c r="B22" i="5"/>
  <c r="B23" i="5"/>
  <c r="B24" i="5"/>
  <c r="B19" i="5"/>
  <c r="B20" i="5"/>
  <c r="B17" i="5"/>
  <c r="B18" i="5"/>
  <c r="B15" i="5"/>
  <c r="B16" i="5"/>
  <c r="B9" i="5"/>
  <c r="B10" i="5"/>
  <c r="B11" i="5"/>
  <c r="B12" i="5"/>
  <c r="B13" i="5"/>
  <c r="B14" i="5"/>
  <c r="G31" i="4"/>
  <c r="G12" i="4"/>
  <c r="G13" i="4"/>
  <c r="G14" i="4"/>
  <c r="G15" i="4"/>
  <c r="G16" i="4"/>
  <c r="G17" i="4"/>
  <c r="G18" i="4"/>
  <c r="G19" i="4"/>
  <c r="G20" i="4"/>
  <c r="G21" i="4"/>
  <c r="G22" i="4"/>
  <c r="G23" i="4"/>
  <c r="E19" i="4"/>
  <c r="E20" i="4"/>
  <c r="E21" i="4"/>
  <c r="E22" i="4"/>
  <c r="E23" i="4"/>
  <c r="B12" i="4"/>
  <c r="B13" i="4"/>
  <c r="B14" i="4"/>
  <c r="B15" i="4"/>
  <c r="B16" i="4"/>
  <c r="B17" i="4"/>
  <c r="B18" i="4"/>
  <c r="B19" i="4"/>
  <c r="B20" i="4"/>
  <c r="B21" i="4"/>
  <c r="B22" i="4"/>
  <c r="B23" i="4"/>
  <c r="B13" i="7" l="1"/>
  <c r="B28" i="5" s="1"/>
  <c r="B14" i="7"/>
  <c r="B29" i="5" s="1"/>
  <c r="B15" i="7"/>
  <c r="B30" i="5" s="1"/>
  <c r="B31" i="5"/>
  <c r="B32" i="5"/>
  <c r="B33" i="5"/>
  <c r="B34" i="5"/>
  <c r="B35" i="5"/>
  <c r="B16" i="7"/>
  <c r="B36" i="5" s="1"/>
  <c r="B37" i="5"/>
  <c r="B12" i="7"/>
  <c r="B27" i="5" s="1"/>
  <c r="E37" i="5" l="1"/>
  <c r="K16" i="7"/>
  <c r="J16" i="7"/>
  <c r="H16" i="7"/>
  <c r="E32" i="5" l="1"/>
  <c r="M16" i="7"/>
  <c r="B34" i="7"/>
  <c r="B31" i="7" l="1"/>
  <c r="B32" i="7"/>
  <c r="B33" i="7"/>
  <c r="F14" i="7"/>
  <c r="B30" i="7"/>
  <c r="O16" i="7"/>
  <c r="F13" i="7"/>
  <c r="F12" i="7"/>
  <c r="F15" i="7"/>
  <c r="J13" i="7" l="1"/>
  <c r="K15" i="7"/>
  <c r="F34" i="7"/>
  <c r="E36" i="5"/>
  <c r="J14" i="7"/>
  <c r="E35" i="5"/>
  <c r="E34" i="5"/>
  <c r="E33" i="5"/>
  <c r="K14" i="7"/>
  <c r="H15" i="7"/>
  <c r="O15" i="7" s="1"/>
  <c r="J15" i="7"/>
  <c r="H12" i="7"/>
  <c r="O12" i="7" s="1"/>
  <c r="J12" i="7"/>
  <c r="K13" i="7"/>
  <c r="H14" i="7"/>
  <c r="O14" i="7" s="1"/>
  <c r="H13" i="7"/>
  <c r="O13" i="7" s="1"/>
  <c r="K12" i="7"/>
  <c r="K8" i="7"/>
  <c r="K9" i="7"/>
  <c r="K10" i="7"/>
  <c r="K11" i="7"/>
  <c r="J8" i="7"/>
  <c r="J9" i="7"/>
  <c r="J10" i="7"/>
  <c r="J11" i="7"/>
  <c r="H8" i="7"/>
  <c r="O8" i="7" s="1"/>
  <c r="F25" i="4" s="1"/>
  <c r="H25" i="4" s="1"/>
  <c r="H9" i="7"/>
  <c r="O9" i="7" s="1"/>
  <c r="F26" i="4" s="1"/>
  <c r="H26" i="4" s="1"/>
  <c r="H10" i="7"/>
  <c r="O10" i="7" s="1"/>
  <c r="F27" i="4" s="1"/>
  <c r="H27" i="4" s="1"/>
  <c r="H11" i="7"/>
  <c r="O11" i="7" s="1"/>
  <c r="F28" i="4" s="1"/>
  <c r="H28" i="4" s="1"/>
  <c r="F16" i="7"/>
  <c r="H31" i="4" l="1"/>
  <c r="F32" i="7"/>
  <c r="O32" i="7" s="1"/>
  <c r="E29" i="5"/>
  <c r="F30" i="7"/>
  <c r="E27" i="5"/>
  <c r="E31" i="5"/>
  <c r="F31" i="7"/>
  <c r="O31" i="7" s="1"/>
  <c r="E28" i="5"/>
  <c r="F33" i="7"/>
  <c r="O33" i="7" s="1"/>
  <c r="E30" i="5"/>
  <c r="M12" i="7"/>
  <c r="M15" i="7"/>
  <c r="M14" i="7"/>
  <c r="M13" i="7"/>
  <c r="M10" i="7"/>
  <c r="M9" i="7"/>
  <c r="M8" i="7"/>
  <c r="M11" i="7"/>
  <c r="E21" i="11"/>
  <c r="E16" i="11"/>
  <c r="E15" i="11"/>
  <c r="D69" i="9" l="1"/>
  <c r="D54" i="9"/>
  <c r="D55" i="9"/>
  <c r="D41" i="9"/>
  <c r="D42" i="9"/>
  <c r="D11" i="9"/>
  <c r="K35" i="2"/>
  <c r="J35" i="2"/>
  <c r="H35" i="2"/>
  <c r="M35" i="2" s="1"/>
  <c r="E26" i="5" l="1"/>
  <c r="F59" i="2"/>
  <c r="M59" i="2" s="1"/>
  <c r="L35" i="2"/>
  <c r="E16" i="5" l="1"/>
  <c r="J29" i="2"/>
  <c r="K29" i="2"/>
  <c r="J30" i="2"/>
  <c r="K30" i="2"/>
  <c r="J31" i="2"/>
  <c r="K31" i="2"/>
  <c r="J32" i="2"/>
  <c r="K32" i="2"/>
  <c r="J33" i="2"/>
  <c r="K33" i="2"/>
  <c r="J34" i="2"/>
  <c r="K34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H33" i="2"/>
  <c r="M33" i="2" s="1"/>
  <c r="H34" i="2"/>
  <c r="M34" i="2" s="1"/>
  <c r="E15" i="5"/>
  <c r="H29" i="2"/>
  <c r="M29" i="2" s="1"/>
  <c r="H30" i="2"/>
  <c r="M30" i="2" s="1"/>
  <c r="H31" i="2"/>
  <c r="M31" i="2" s="1"/>
  <c r="H32" i="2"/>
  <c r="M32" i="2" s="1"/>
  <c r="H12" i="2"/>
  <c r="M12" i="2" s="1"/>
  <c r="F15" i="4" s="1"/>
  <c r="H13" i="2"/>
  <c r="M13" i="2" s="1"/>
  <c r="F16" i="4" s="1"/>
  <c r="H14" i="2"/>
  <c r="M14" i="2" s="1"/>
  <c r="F17" i="4" s="1"/>
  <c r="H15" i="2"/>
  <c r="M15" i="2" s="1"/>
  <c r="F18" i="4" s="1"/>
  <c r="H16" i="2"/>
  <c r="M16" i="2" s="1"/>
  <c r="F19" i="4" s="1"/>
  <c r="H17" i="2"/>
  <c r="M17" i="2" s="1"/>
  <c r="F20" i="4" s="1"/>
  <c r="H18" i="2"/>
  <c r="M18" i="2" s="1"/>
  <c r="F21" i="4" s="1"/>
  <c r="H19" i="2"/>
  <c r="M19" i="2" s="1"/>
  <c r="F22" i="4" s="1"/>
  <c r="H20" i="2"/>
  <c r="M20" i="2" s="1"/>
  <c r="F23" i="4" s="1"/>
  <c r="H21" i="2"/>
  <c r="M21" i="2" s="1"/>
  <c r="H22" i="2"/>
  <c r="M22" i="2" s="1"/>
  <c r="H23" i="2"/>
  <c r="M23" i="2" s="1"/>
  <c r="E41" i="5" s="1"/>
  <c r="H24" i="2"/>
  <c r="M24" i="2" s="1"/>
  <c r="H25" i="2"/>
  <c r="M25" i="2" s="1"/>
  <c r="H26" i="2"/>
  <c r="M26" i="2" s="1"/>
  <c r="H27" i="2"/>
  <c r="M27" i="2" s="1"/>
  <c r="E11" i="5" s="1"/>
  <c r="H28" i="2"/>
  <c r="M28" i="2" s="1"/>
  <c r="L16" i="2" l="1"/>
  <c r="L15" i="2"/>
  <c r="E17" i="5"/>
  <c r="F53" i="2"/>
  <c r="F46" i="2"/>
  <c r="E40" i="5"/>
  <c r="F54" i="2"/>
  <c r="E19" i="5"/>
  <c r="F50" i="2"/>
  <c r="E10" i="5"/>
  <c r="F52" i="2"/>
  <c r="M52" i="2" s="1"/>
  <c r="E12" i="5"/>
  <c r="F48" i="2"/>
  <c r="E42" i="5"/>
  <c r="F57" i="2"/>
  <c r="E24" i="5"/>
  <c r="F58" i="2"/>
  <c r="E25" i="5"/>
  <c r="F56" i="2"/>
  <c r="E21" i="5"/>
  <c r="F55" i="2"/>
  <c r="E20" i="5"/>
  <c r="E18" i="5"/>
  <c r="F49" i="2"/>
  <c r="E9" i="5"/>
  <c r="F45" i="2"/>
  <c r="E39" i="5"/>
  <c r="E13" i="5"/>
  <c r="E14" i="5"/>
  <c r="E23" i="5"/>
  <c r="E22" i="5"/>
  <c r="M53" i="2"/>
  <c r="F47" i="2"/>
  <c r="F51" i="2"/>
  <c r="L17" i="2"/>
  <c r="L13" i="2"/>
  <c r="L30" i="2"/>
  <c r="L26" i="2"/>
  <c r="L22" i="2"/>
  <c r="L27" i="2"/>
  <c r="L23" i="2"/>
  <c r="L20" i="2"/>
  <c r="L18" i="2"/>
  <c r="L14" i="2"/>
  <c r="L33" i="2"/>
  <c r="L31" i="2"/>
  <c r="L28" i="2"/>
  <c r="L24" i="2"/>
  <c r="L21" i="2"/>
  <c r="L19" i="2"/>
  <c r="L34" i="2"/>
  <c r="L32" i="2"/>
  <c r="L29" i="2"/>
  <c r="L25" i="2"/>
  <c r="L12" i="2"/>
  <c r="E38" i="5" l="1"/>
  <c r="E20" i="11"/>
  <c r="E19" i="11"/>
  <c r="E13" i="11"/>
  <c r="E6" i="11"/>
  <c r="C33" i="10"/>
  <c r="C32" i="10"/>
  <c r="C31" i="10"/>
  <c r="C34" i="10" l="1"/>
  <c r="C9" i="10" l="1"/>
  <c r="C7" i="10" l="1"/>
  <c r="D24" i="8"/>
  <c r="D73" i="9"/>
  <c r="D74" i="9"/>
  <c r="D72" i="9"/>
  <c r="D71" i="9"/>
  <c r="D70" i="9"/>
  <c r="D68" i="9"/>
  <c r="D67" i="9"/>
  <c r="D25" i="9"/>
  <c r="D6" i="9"/>
  <c r="D75" i="9" l="1"/>
  <c r="D23" i="8"/>
  <c r="D21" i="8"/>
  <c r="D20" i="8"/>
  <c r="K9" i="2"/>
  <c r="K10" i="2"/>
  <c r="K11" i="2"/>
  <c r="J9" i="2"/>
  <c r="J10" i="2"/>
  <c r="J11" i="2"/>
  <c r="H9" i="2"/>
  <c r="H10" i="2"/>
  <c r="H11" i="2"/>
  <c r="M48" i="2"/>
  <c r="M49" i="2"/>
  <c r="M51" i="2"/>
  <c r="M54" i="2"/>
  <c r="M55" i="2"/>
  <c r="D25" i="8" l="1"/>
  <c r="M50" i="2"/>
  <c r="C7" i="5" l="1"/>
  <c r="C6" i="5"/>
  <c r="C5" i="5"/>
  <c r="C4" i="5"/>
  <c r="D3" i="2"/>
  <c r="E5" i="7"/>
  <c r="C3" i="5" s="1"/>
  <c r="E4" i="7"/>
  <c r="C7" i="4" s="1"/>
  <c r="D3" i="7"/>
  <c r="E5" i="2"/>
  <c r="C2" i="5" s="1"/>
  <c r="E4" i="2"/>
  <c r="C4" i="4" s="1"/>
  <c r="D18" i="8"/>
  <c r="D17" i="8"/>
  <c r="D16" i="8"/>
  <c r="D14" i="8"/>
  <c r="D13" i="8"/>
  <c r="D11" i="8"/>
  <c r="D9" i="8"/>
  <c r="D8" i="8"/>
  <c r="D7" i="8"/>
  <c r="D6" i="8"/>
  <c r="D57" i="9"/>
  <c r="D58" i="9"/>
  <c r="D59" i="9"/>
  <c r="D56" i="9"/>
  <c r="D53" i="9"/>
  <c r="D51" i="9"/>
  <c r="D50" i="9"/>
  <c r="D47" i="9"/>
  <c r="D48" i="9"/>
  <c r="D49" i="9"/>
  <c r="D43" i="9"/>
  <c r="D44" i="9"/>
  <c r="D40" i="9"/>
  <c r="D37" i="9"/>
  <c r="D34" i="9"/>
  <c r="D35" i="9"/>
  <c r="D36" i="9"/>
  <c r="D30" i="9"/>
  <c r="D29" i="9"/>
  <c r="D28" i="9"/>
  <c r="D24" i="9"/>
  <c r="D22" i="9"/>
  <c r="D21" i="9"/>
  <c r="D20" i="9"/>
  <c r="D19" i="9"/>
  <c r="D18" i="9"/>
  <c r="D17" i="9"/>
  <c r="D16" i="9"/>
  <c r="D15" i="9"/>
  <c r="D14" i="9"/>
  <c r="D23" i="9"/>
  <c r="D7" i="9"/>
  <c r="D8" i="9"/>
  <c r="D9" i="9"/>
  <c r="D10" i="9"/>
  <c r="D12" i="9"/>
  <c r="C29" i="10"/>
  <c r="C27" i="10"/>
  <c r="C25" i="10"/>
  <c r="C23" i="10"/>
  <c r="C16" i="10"/>
  <c r="C15" i="10"/>
  <c r="C11" i="10"/>
  <c r="G47" i="5" l="1"/>
  <c r="G46" i="5"/>
  <c r="G45" i="5"/>
  <c r="G44" i="5"/>
  <c r="E22" i="11"/>
  <c r="E18" i="11"/>
  <c r="E17" i="11"/>
  <c r="E14" i="11"/>
  <c r="E12" i="11"/>
  <c r="E8" i="11"/>
  <c r="E7" i="11"/>
  <c r="C28" i="10"/>
  <c r="C24" i="10"/>
  <c r="C17" i="10"/>
  <c r="C13" i="10"/>
  <c r="C12" i="10"/>
  <c r="C8" i="10"/>
  <c r="C6" i="10"/>
  <c r="D65" i="9"/>
  <c r="D64" i="9"/>
  <c r="D63" i="9"/>
  <c r="D62" i="9"/>
  <c r="D61" i="9"/>
  <c r="D60" i="9"/>
  <c r="D46" i="9"/>
  <c r="D45" i="9"/>
  <c r="D38" i="9"/>
  <c r="D33" i="9"/>
  <c r="D32" i="9"/>
  <c r="D31" i="9"/>
  <c r="D26" i="9"/>
  <c r="D13" i="9"/>
  <c r="D19" i="8"/>
  <c r="D15" i="8"/>
  <c r="D10" i="8"/>
  <c r="B2" i="2"/>
  <c r="E23" i="11" l="1"/>
  <c r="D26" i="8"/>
  <c r="E44" i="5" s="1"/>
  <c r="G25" i="5"/>
  <c r="G11" i="5"/>
  <c r="G15" i="5"/>
  <c r="G19" i="5"/>
  <c r="G26" i="5"/>
  <c r="G12" i="5"/>
  <c r="G16" i="5"/>
  <c r="G20" i="5"/>
  <c r="G18" i="5"/>
  <c r="G23" i="5"/>
  <c r="G9" i="5"/>
  <c r="G13" i="5"/>
  <c r="G17" i="5"/>
  <c r="G21" i="5"/>
  <c r="G24" i="5"/>
  <c r="G10" i="5"/>
  <c r="G14" i="5"/>
  <c r="G22" i="5"/>
  <c r="C10" i="10"/>
  <c r="G41" i="5"/>
  <c r="C3" i="4"/>
  <c r="G42" i="5"/>
  <c r="G39" i="5"/>
  <c r="G40" i="5"/>
  <c r="D52" i="9"/>
  <c r="D39" i="9"/>
  <c r="D27" i="9"/>
  <c r="D76" i="9" s="1"/>
  <c r="D66" i="9"/>
  <c r="C14" i="10"/>
  <c r="C26" i="10"/>
  <c r="E46" i="5"/>
  <c r="C30" i="10"/>
  <c r="C18" i="10"/>
  <c r="C35" i="10" l="1"/>
  <c r="E47" i="5"/>
  <c r="E45" i="5"/>
  <c r="H17" i="4" l="1"/>
  <c r="H18" i="4"/>
  <c r="H12" i="4"/>
  <c r="H13" i="4"/>
  <c r="H14" i="4"/>
  <c r="H15" i="4"/>
  <c r="H16" i="4"/>
  <c r="H11" i="4"/>
  <c r="G11" i="4"/>
  <c r="G30" i="4" s="1"/>
  <c r="B2" i="7"/>
  <c r="F31" i="4"/>
  <c r="G6" i="4"/>
  <c r="N2" i="7"/>
  <c r="M10" i="2"/>
  <c r="F13" i="4" s="1"/>
  <c r="M11" i="2"/>
  <c r="F14" i="4" s="1"/>
  <c r="H8" i="2"/>
  <c r="M8" i="2" s="1"/>
  <c r="F11" i="4" s="1"/>
  <c r="K8" i="2"/>
  <c r="J8" i="2"/>
  <c r="G3" i="4"/>
  <c r="E12" i="4"/>
  <c r="E13" i="4"/>
  <c r="E14" i="4"/>
  <c r="E15" i="4"/>
  <c r="E16" i="4"/>
  <c r="E17" i="4"/>
  <c r="E18" i="4"/>
  <c r="E11" i="4"/>
  <c r="B11" i="4"/>
  <c r="G31" i="5" l="1"/>
  <c r="G35" i="5"/>
  <c r="G28" i="5"/>
  <c r="G32" i="5"/>
  <c r="G36" i="5"/>
  <c r="G29" i="5"/>
  <c r="G33" i="5"/>
  <c r="G37" i="5"/>
  <c r="G30" i="5"/>
  <c r="G34" i="5"/>
  <c r="G27" i="5"/>
  <c r="H30" i="4"/>
  <c r="O34" i="7"/>
  <c r="O30" i="7"/>
  <c r="M56" i="2"/>
  <c r="M58" i="2"/>
  <c r="M46" i="2"/>
  <c r="M57" i="2"/>
  <c r="M45" i="2"/>
  <c r="C6" i="4"/>
  <c r="L10" i="2"/>
  <c r="L11" i="2"/>
  <c r="L9" i="2"/>
  <c r="L8" i="2"/>
  <c r="M9" i="2"/>
  <c r="F12" i="4" s="1"/>
  <c r="F30" i="4" s="1"/>
  <c r="E43" i="5" l="1"/>
  <c r="M47" i="2"/>
  <c r="C49" i="5" l="1"/>
</calcChain>
</file>

<file path=xl/sharedStrings.xml><?xml version="1.0" encoding="utf-8"?>
<sst xmlns="http://schemas.openxmlformats.org/spreadsheetml/2006/main" count="1018" uniqueCount="267">
  <si>
    <t>项目名称</t>
  </si>
  <si>
    <t>项目编号</t>
  </si>
  <si>
    <t>估计人</t>
  </si>
  <si>
    <t>估计类别</t>
  </si>
  <si>
    <t>估计轮次</t>
  </si>
  <si>
    <t>估计方法</t>
  </si>
  <si>
    <t>估计假设和约束条件</t>
  </si>
  <si>
    <t>序号</t>
  </si>
  <si>
    <t>估计对象</t>
  </si>
  <si>
    <t>度量单位</t>
  </si>
  <si>
    <t>估计值</t>
  </si>
  <si>
    <t>备注</t>
  </si>
  <si>
    <t>总值</t>
  </si>
  <si>
    <t>新增规模</t>
  </si>
  <si>
    <t>页</t>
  </si>
  <si>
    <t>行</t>
  </si>
  <si>
    <t xml:space="preserve">说明：
1）当估计类别选择“工作量”时，只需填写总值一栏；
2）当估计类别选择“规模”时，总值=新增规模+重用规模；
3）规模的度量单位为“行”（代码）或“页”（文档），工作量为人时；
4）估计对象中，各软件模块应能对应到软件研制任务书中的功能点；
5）“估计假设和约束条件”一栏应说明用于参考的软件研制任务书、类似项目信息、其他可能有用的相关信息；
6）重用包括在原有基础上修改使用和直接使用
</t>
    <phoneticPr fontId="2" type="noConversion"/>
  </si>
  <si>
    <t>重用规模</t>
    <phoneticPr fontId="2" type="noConversion"/>
  </si>
  <si>
    <t>平均</t>
  </si>
  <si>
    <t>最大</t>
  </si>
  <si>
    <t>最小</t>
  </si>
  <si>
    <t>偏差率</t>
  </si>
  <si>
    <t xml:space="preserve">说明：
1）该表按照估计类别分别汇总每个估计人员填写的估计表（附录A）；
2）估计值“最大”和“最小”取自附录A的“总值”一栏；
3）规模的度量单位为“行”（代码）或“页”（文档），工作量为人时；
4）“估计假设和约束条件”一栏应说明偏差阈值、用于参考的软件研制任务书、规模数据、类似项目信息、其他可能有用的相关信息。
</t>
    <phoneticPr fontId="2" type="noConversion"/>
  </si>
  <si>
    <t>重用规模</t>
  </si>
  <si>
    <t>活动类别</t>
  </si>
  <si>
    <t>高蕾</t>
    <phoneticPr fontId="2" type="noConversion"/>
  </si>
  <si>
    <t>专家估计法</t>
    <phoneticPr fontId="2" type="noConversion"/>
  </si>
  <si>
    <t>软件开发计划</t>
    <phoneticPr fontId="2" type="noConversion"/>
  </si>
  <si>
    <t>软件质量保证计划</t>
    <phoneticPr fontId="2" type="noConversion"/>
  </si>
  <si>
    <t>软件配置管理计划</t>
    <phoneticPr fontId="2" type="noConversion"/>
  </si>
  <si>
    <t>测量与分析计划</t>
    <phoneticPr fontId="2" type="noConversion"/>
  </si>
  <si>
    <t>需求规格说明</t>
    <phoneticPr fontId="2" type="noConversion"/>
  </si>
  <si>
    <t>单元测试计划</t>
    <phoneticPr fontId="2" type="noConversion"/>
  </si>
  <si>
    <t>单元测试报告</t>
    <phoneticPr fontId="2" type="noConversion"/>
  </si>
  <si>
    <t>软件开发计划编写</t>
    <phoneticPr fontId="2" type="noConversion"/>
  </si>
  <si>
    <t>软件质量保证计划编写</t>
    <phoneticPr fontId="2" type="noConversion"/>
  </si>
  <si>
    <t>软件配置管理计划编写</t>
    <phoneticPr fontId="2" type="noConversion"/>
  </si>
  <si>
    <t>测量与分析计划编写</t>
    <phoneticPr fontId="2" type="noConversion"/>
  </si>
  <si>
    <t>需求规格说明编写</t>
    <phoneticPr fontId="2" type="noConversion"/>
  </si>
  <si>
    <t>单元测试计划编写</t>
    <phoneticPr fontId="2" type="noConversion"/>
  </si>
  <si>
    <t>单元测试报告编写</t>
    <phoneticPr fontId="2" type="noConversion"/>
  </si>
  <si>
    <t>人时</t>
    <phoneticPr fontId="2" type="noConversion"/>
  </si>
  <si>
    <t>项目名称</t>
    <phoneticPr fontId="2" type="noConversion"/>
  </si>
  <si>
    <t>度量
单位</t>
    <phoneticPr fontId="2" type="noConversion"/>
  </si>
  <si>
    <t>—</t>
    <phoneticPr fontId="2" type="noConversion"/>
  </si>
  <si>
    <t>执行合格性测试</t>
    <phoneticPr fontId="2" type="noConversion"/>
  </si>
  <si>
    <t>执行单元测试</t>
    <phoneticPr fontId="2" type="noConversion"/>
  </si>
  <si>
    <t>合格性测试bug修改</t>
    <phoneticPr fontId="2" type="noConversion"/>
  </si>
  <si>
    <t>软件开发计划</t>
  </si>
  <si>
    <t>估计值
取整</t>
    <phoneticPr fontId="2" type="noConversion"/>
  </si>
  <si>
    <t xml:space="preserve">高蕾 </t>
    <phoneticPr fontId="2" type="noConversion"/>
  </si>
  <si>
    <t xml:space="preserve">说明：
1）当估计方法为专家估计法时，估计值一栏取值附录B估计汇总表（专家估计法）中的取整后估计值；
2）“估计假设和约束条件”一栏中应说明的内容包括但不限于：
①估计方法为运算法时，所采用的各项系数及依据。
②估计方法为专家估计法时，偏差阈值、用于参考的软件研制任务书、规模数据、类似项目信息、其他可能有用的相关信息。
</t>
    <phoneticPr fontId="2" type="noConversion"/>
  </si>
  <si>
    <t xml:space="preserve">说明：
1）总值=新增规模+重用规模；
2）当估计方法为专家估计法时，总值一栏取自估计汇总表中的取整后估计值；
3）规模的度量单位为“行”（代码）或“页”（文档）；
4）估计对象中，各软件模块应能对应到软件研制任务书中的功能点；
5）重用包括在原有基础上修改使用和直接使用。
</t>
    <phoneticPr fontId="2" type="noConversion"/>
  </si>
  <si>
    <t>估计假设和约束条件</t>
    <phoneticPr fontId="2" type="noConversion"/>
  </si>
  <si>
    <t>文档规模估计</t>
    <phoneticPr fontId="2" type="noConversion"/>
  </si>
  <si>
    <t>估计人员</t>
    <phoneticPr fontId="2" type="noConversion"/>
  </si>
  <si>
    <t>估计方法</t>
    <phoneticPr fontId="2" type="noConversion"/>
  </si>
  <si>
    <t>代码规模估计</t>
    <phoneticPr fontId="2" type="noConversion"/>
  </si>
  <si>
    <t>估计值列表</t>
    <phoneticPr fontId="2" type="noConversion"/>
  </si>
  <si>
    <t>总计</t>
    <phoneticPr fontId="2" type="noConversion"/>
  </si>
  <si>
    <t>代码规模</t>
    <phoneticPr fontId="2" type="noConversion"/>
  </si>
  <si>
    <t>文档规模</t>
    <phoneticPr fontId="2" type="noConversion"/>
  </si>
  <si>
    <t>页</t>
    <phoneticPr fontId="2" type="noConversion"/>
  </si>
  <si>
    <t>行</t>
    <phoneticPr fontId="2" type="noConversion"/>
  </si>
  <si>
    <t>备注</t>
    <phoneticPr fontId="2" type="noConversion"/>
  </si>
  <si>
    <t>阶段时长（月）</t>
    <phoneticPr fontId="7" type="noConversion"/>
  </si>
  <si>
    <t>配置管理活动</t>
    <phoneticPr fontId="7" type="noConversion"/>
  </si>
  <si>
    <t>工作量估计</t>
    <phoneticPr fontId="7" type="noConversion"/>
  </si>
  <si>
    <t>系统分析与设计阶段</t>
    <phoneticPr fontId="2" type="noConversion"/>
  </si>
  <si>
    <t>发布基线</t>
    <phoneticPr fontId="7" type="noConversion"/>
  </si>
  <si>
    <t>配置状态纪实</t>
    <phoneticPr fontId="7" type="noConversion"/>
  </si>
  <si>
    <t>配置管理报告</t>
    <phoneticPr fontId="7" type="noConversion"/>
  </si>
  <si>
    <t>合计</t>
    <phoneticPr fontId="2" type="noConversion"/>
  </si>
  <si>
    <t>需求分析阶段</t>
    <phoneticPr fontId="7" type="noConversion"/>
  </si>
  <si>
    <t>配置管理报告</t>
  </si>
  <si>
    <t>合计</t>
    <phoneticPr fontId="7" type="noConversion"/>
  </si>
  <si>
    <t>编码与单元测试阶段</t>
    <phoneticPr fontId="7" type="noConversion"/>
  </si>
  <si>
    <t>配置项测试阶段</t>
    <phoneticPr fontId="7" type="noConversion"/>
  </si>
  <si>
    <t>总计</t>
    <phoneticPr fontId="7" type="noConversion"/>
  </si>
  <si>
    <t>阶段时长(月)</t>
    <phoneticPr fontId="7" type="noConversion"/>
  </si>
  <si>
    <t>质量活动</t>
    <phoneticPr fontId="7" type="noConversion"/>
  </si>
  <si>
    <t>审核次数</t>
    <phoneticPr fontId="7" type="noConversion"/>
  </si>
  <si>
    <t>系统分析与设计</t>
    <phoneticPr fontId="7" type="noConversion"/>
  </si>
  <si>
    <t>审核软件研制任务书</t>
    <phoneticPr fontId="7" type="noConversion"/>
  </si>
  <si>
    <t>审核需求开发与管理</t>
    <phoneticPr fontId="7" type="noConversion"/>
  </si>
  <si>
    <t>审核配置管理</t>
    <phoneticPr fontId="7" type="noConversion"/>
  </si>
  <si>
    <t>审核领导作用</t>
    <phoneticPr fontId="7" type="noConversion"/>
  </si>
  <si>
    <t>拟制质量审核报告</t>
    <phoneticPr fontId="7" type="noConversion"/>
  </si>
  <si>
    <t>审核项目策划过程</t>
    <phoneticPr fontId="7" type="noConversion"/>
  </si>
  <si>
    <t>审核验证与确认-工作产品评审过程</t>
    <phoneticPr fontId="7" type="noConversion"/>
  </si>
  <si>
    <t>审核实施基础</t>
    <phoneticPr fontId="7" type="noConversion"/>
  </si>
  <si>
    <t>审核运行维护</t>
    <phoneticPr fontId="7" type="noConversion"/>
  </si>
  <si>
    <t>审核配置管理过程</t>
    <phoneticPr fontId="7" type="noConversion"/>
  </si>
  <si>
    <t>审核项目监控过程</t>
    <phoneticPr fontId="7" type="noConversion"/>
  </si>
  <si>
    <t>审核测量与绩效</t>
    <phoneticPr fontId="7" type="noConversion"/>
  </si>
  <si>
    <t>审核软件开发计划、质量保证计划、测量与分析计划、配置管理计划</t>
    <phoneticPr fontId="7" type="noConversion"/>
  </si>
  <si>
    <t>审核需求规格说明</t>
    <phoneticPr fontId="7" type="noConversion"/>
  </si>
  <si>
    <t>单元测试计划审核</t>
    <phoneticPr fontId="7" type="noConversion"/>
  </si>
  <si>
    <t>单元测试报告审核</t>
    <phoneticPr fontId="7" type="noConversion"/>
  </si>
  <si>
    <t>审核领导作用</t>
  </si>
  <si>
    <t>审核实施基础</t>
  </si>
  <si>
    <t>质量审核报告拟制</t>
    <phoneticPr fontId="7" type="noConversion"/>
  </si>
  <si>
    <t>管理活动</t>
    <phoneticPr fontId="7" type="noConversion"/>
  </si>
  <si>
    <t>活动次数</t>
    <phoneticPr fontId="7" type="noConversion"/>
  </si>
  <si>
    <t>参加人数</t>
    <phoneticPr fontId="7" type="noConversion"/>
  </si>
  <si>
    <t>系统分析与设计</t>
    <phoneticPr fontId="2" type="noConversion"/>
  </si>
  <si>
    <t>项目启动会</t>
    <phoneticPr fontId="7" type="noConversion"/>
  </si>
  <si>
    <t>阶段例会</t>
    <phoneticPr fontId="7" type="noConversion"/>
  </si>
  <si>
    <t>小结</t>
    <phoneticPr fontId="7" type="noConversion"/>
  </si>
  <si>
    <t>测量分析及进度跟踪</t>
    <phoneticPr fontId="7" type="noConversion"/>
  </si>
  <si>
    <t>项目策划例会</t>
    <phoneticPr fontId="7" type="noConversion"/>
  </si>
  <si>
    <t>阶段策划</t>
    <phoneticPr fontId="7" type="noConversion"/>
  </si>
  <si>
    <t>测量分析与进度跟踪（包括报告拟制）</t>
    <phoneticPr fontId="7" type="noConversion"/>
  </si>
  <si>
    <t>工作例会</t>
    <phoneticPr fontId="7" type="noConversion"/>
  </si>
  <si>
    <t>测量分析及进度跟踪（包括报告拟制）</t>
    <phoneticPr fontId="7" type="noConversion"/>
  </si>
  <si>
    <t>评审对象</t>
    <phoneticPr fontId="2" type="noConversion"/>
  </si>
  <si>
    <t>评审参加人数</t>
    <phoneticPr fontId="2" type="noConversion"/>
  </si>
  <si>
    <t>软件研制任务书</t>
  </si>
  <si>
    <t>质量保证计划</t>
  </si>
  <si>
    <t>配置管理计划</t>
  </si>
  <si>
    <t>测量与分析计划</t>
  </si>
  <si>
    <t>需求规格说明</t>
  </si>
  <si>
    <t>单元测试报告</t>
    <phoneticPr fontId="7" type="noConversion"/>
  </si>
  <si>
    <t>序号</t>
    <phoneticPr fontId="2" type="noConversion"/>
  </si>
  <si>
    <t>工作量（人时）</t>
    <phoneticPr fontId="7" type="noConversion"/>
  </si>
  <si>
    <t>评审时长（小时）</t>
    <phoneticPr fontId="2" type="noConversion"/>
  </si>
  <si>
    <t>评审总工时（人时）</t>
    <phoneticPr fontId="2" type="noConversion"/>
  </si>
  <si>
    <t>配置管理类</t>
    <phoneticPr fontId="2" type="noConversion"/>
  </si>
  <si>
    <t>质量保证类</t>
    <phoneticPr fontId="2" type="noConversion"/>
  </si>
  <si>
    <t>其它管理类</t>
    <phoneticPr fontId="2" type="noConversion"/>
  </si>
  <si>
    <t>项目编号</t>
    <phoneticPr fontId="2" type="noConversion"/>
  </si>
  <si>
    <t>估计过程</t>
    <phoneticPr fontId="2" type="noConversion"/>
  </si>
  <si>
    <t>经验法</t>
    <phoneticPr fontId="2" type="noConversion"/>
  </si>
  <si>
    <t>评审类</t>
    <phoneticPr fontId="2" type="noConversion"/>
  </si>
  <si>
    <t>工作量</t>
    <phoneticPr fontId="2" type="noConversion"/>
  </si>
  <si>
    <t>项目策划类</t>
    <phoneticPr fontId="2" type="noConversion"/>
  </si>
  <si>
    <t>专家法</t>
    <phoneticPr fontId="2" type="noConversion"/>
  </si>
  <si>
    <t>估计假设和约束条件</t>
    <phoneticPr fontId="2" type="noConversion"/>
  </si>
  <si>
    <t>单次活动工时经验值（人时）</t>
    <phoneticPr fontId="7" type="noConversion"/>
  </si>
  <si>
    <t>工作例会、测量等管理类活动工作量的估计，基于公司提供的单次活动工时经验数据、项目周期内预计开展的活动次数及预计参与人数计算所得。公司提供的单次活动工时经验值见《软件估计指南》。</t>
    <phoneticPr fontId="2" type="noConversion"/>
  </si>
  <si>
    <t>质量保证活动工作量的估计，基于公司提供的单次活动工时经验数据、项目周期内预计开展的质量活动次数计算所得。公司提供的单次活动工时经验值见《软件估计指南》。</t>
    <phoneticPr fontId="2" type="noConversion"/>
  </si>
  <si>
    <t>估计假设与约束条件</t>
    <phoneticPr fontId="2" type="noConversion"/>
  </si>
  <si>
    <t>活动次数</t>
    <phoneticPr fontId="7" type="noConversion"/>
  </si>
  <si>
    <t>工作量估计
（人时）</t>
    <phoneticPr fontId="7" type="noConversion"/>
  </si>
  <si>
    <t>单次产品审核工时</t>
    <phoneticPr fontId="7" type="noConversion"/>
  </si>
  <si>
    <t>单次过程审核工时</t>
    <phoneticPr fontId="7" type="noConversion"/>
  </si>
  <si>
    <t>单次活动工时
（人时）</t>
    <phoneticPr fontId="7" type="noConversion"/>
  </si>
  <si>
    <t>评审活动工作量的估计，基于公司提供的单次活动工时经验数据、评审对象内容、参与评审人数计算所得。公司提供的单次活动工时经验值见《软件估计指南》</t>
    <phoneticPr fontId="2" type="noConversion"/>
  </si>
  <si>
    <t>配置管理活动工作量的估计，基于公司提供的单次活动工时经验数据、项目周期内预计开展的活动次数及配置活动内容计算所得。公司提供的单次活动工时经验值见《软件估计指南》</t>
    <phoneticPr fontId="2" type="noConversion"/>
  </si>
  <si>
    <t>配置状态纪实</t>
    <phoneticPr fontId="2" type="noConversion"/>
  </si>
  <si>
    <t>配置状态纪实</t>
    <phoneticPr fontId="7" type="noConversion"/>
  </si>
  <si>
    <t>出厂产品基线发布</t>
    <phoneticPr fontId="2" type="noConversion"/>
  </si>
  <si>
    <t>出入受控库</t>
    <phoneticPr fontId="7" type="noConversion"/>
  </si>
  <si>
    <t xml:space="preserve">说明：
1）该表按照估计类别分别汇总每个估计人员填写的估计表（附录A）；
2）估计值“最大”和“最小”取自附录A的“总值”一栏；
3）规模的度量单位为“行”（代码）或“页”（文档），工作量为人时；
4）“估计假设和约束条件”一栏应说明偏差阈值、用于参考的软件研制任务书、规模数据、类似项目信息、其他可能有用的相关信息。
</t>
    <phoneticPr fontId="2" type="noConversion"/>
  </si>
  <si>
    <r>
      <t xml:space="preserve"> </t>
    </r>
    <r>
      <rPr>
        <sz val="11"/>
        <color theme="1"/>
        <rFont val="方正舒体"/>
        <family val="3"/>
        <charset val="134"/>
      </rPr>
      <t>■</t>
    </r>
    <r>
      <rPr>
        <sz val="11"/>
        <color theme="1"/>
        <rFont val="宋体"/>
        <family val="3"/>
        <charset val="134"/>
      </rPr>
      <t>规模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方正舒体"/>
        <family val="3"/>
        <charset val="134"/>
      </rPr>
      <t>■</t>
    </r>
    <r>
      <rPr>
        <sz val="11"/>
        <color theme="1"/>
        <rFont val="宋体"/>
        <family val="3"/>
        <charset val="134"/>
      </rPr>
      <t>工作量</t>
    </r>
    <phoneticPr fontId="2" type="noConversion"/>
  </si>
  <si>
    <r>
      <t xml:space="preserve"> </t>
    </r>
    <r>
      <rPr>
        <sz val="11"/>
        <color theme="1"/>
        <rFont val="方正舒体"/>
        <family val="3"/>
        <charset val="134"/>
      </rPr>
      <t>■</t>
    </r>
    <r>
      <rPr>
        <sz val="11"/>
        <color theme="1"/>
        <rFont val="宋体"/>
        <family val="3"/>
        <charset val="134"/>
      </rPr>
      <t>规模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方正舒体"/>
        <family val="3"/>
        <charset val="134"/>
      </rPr>
      <t>■</t>
    </r>
    <r>
      <rPr>
        <sz val="11"/>
        <color theme="1"/>
        <rFont val="宋体"/>
        <family val="3"/>
        <charset val="134"/>
      </rPr>
      <t>工作量</t>
    </r>
    <phoneticPr fontId="2" type="noConversion"/>
  </si>
  <si>
    <r>
      <t xml:space="preserve"> </t>
    </r>
    <r>
      <rPr>
        <sz val="11"/>
        <color theme="1"/>
        <rFont val="方正舒体"/>
        <family val="3"/>
        <charset val="134"/>
      </rPr>
      <t>■</t>
    </r>
    <r>
      <rPr>
        <sz val="11"/>
        <color theme="1"/>
        <rFont val="宋体"/>
        <family val="3"/>
        <charset val="134"/>
      </rPr>
      <t>规模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方正舒体"/>
        <family val="3"/>
        <charset val="134"/>
      </rPr>
      <t>■</t>
    </r>
    <r>
      <rPr>
        <sz val="11"/>
        <color theme="1"/>
        <rFont val="宋体"/>
        <family val="3"/>
        <charset val="134"/>
      </rPr>
      <t>工作量</t>
    </r>
    <phoneticPr fontId="2" type="noConversion"/>
  </si>
  <si>
    <r>
      <t>■</t>
    </r>
    <r>
      <rPr>
        <sz val="11"/>
        <color theme="1"/>
        <rFont val="宋体"/>
        <family val="3"/>
        <charset val="134"/>
      </rPr>
      <t>规模</t>
    </r>
    <r>
      <rPr>
        <sz val="11"/>
        <color theme="1"/>
        <rFont val="Times New Roman"/>
        <family val="1"/>
      </rPr>
      <t xml:space="preserve">   </t>
    </r>
    <r>
      <rPr>
        <sz val="11"/>
        <color theme="1"/>
        <rFont val="方正舒体"/>
        <family val="3"/>
        <charset val="134"/>
      </rPr>
      <t>■</t>
    </r>
    <r>
      <rPr>
        <sz val="11"/>
        <color theme="1"/>
        <rFont val="宋体"/>
        <family val="3"/>
        <charset val="134"/>
      </rPr>
      <t>工作量</t>
    </r>
    <phoneticPr fontId="2" type="noConversion"/>
  </si>
  <si>
    <r>
      <t>■</t>
    </r>
    <r>
      <rPr>
        <sz val="11"/>
        <color theme="1"/>
        <rFont val="宋体"/>
        <family val="3"/>
        <charset val="134"/>
      </rPr>
      <t>规模</t>
    </r>
    <r>
      <rPr>
        <sz val="11"/>
        <color theme="1"/>
        <rFont val="Times New Roman"/>
        <family val="1"/>
      </rPr>
      <t xml:space="preserve">   </t>
    </r>
    <r>
      <rPr>
        <sz val="11"/>
        <color theme="1"/>
        <rFont val="方正舒体"/>
        <family val="3"/>
        <charset val="134"/>
      </rPr>
      <t>■</t>
    </r>
    <r>
      <rPr>
        <sz val="11"/>
        <color theme="1"/>
        <rFont val="宋体"/>
        <family val="3"/>
        <charset val="134"/>
      </rPr>
      <t>工作量</t>
    </r>
    <phoneticPr fontId="2" type="noConversion"/>
  </si>
  <si>
    <t xml:space="preserve">说明：
1）当估计类别选择“工作量”时，只需填写总值一栏；
2）当估计类别选择“规模”时，总值=新增规模+重用规模；
3）规模的度量单位为“行”（代码）或“页”（文档），工作量为人时；
4）估计对象中，各软件模块应能对应到软件研制任务书中的功能点；
5）“估计假设和约束条件”一栏应说明用于参考的软件研制任务书、类似项目信息、其他可能有用的相关信息；
6）重用包括在原有基础上修改使用和直接使用。
</t>
    <phoneticPr fontId="2" type="noConversion"/>
  </si>
  <si>
    <t>估计人员</t>
    <phoneticPr fontId="2" type="noConversion"/>
  </si>
  <si>
    <t>配置项测试计划</t>
    <phoneticPr fontId="2" type="noConversion"/>
  </si>
  <si>
    <t>页</t>
    <phoneticPr fontId="2" type="noConversion"/>
  </si>
  <si>
    <t>配置项测试说明</t>
    <phoneticPr fontId="2" type="noConversion"/>
  </si>
  <si>
    <t>配置项测试报告</t>
    <phoneticPr fontId="2" type="noConversion"/>
  </si>
  <si>
    <t>用户手册</t>
    <phoneticPr fontId="2" type="noConversion"/>
  </si>
  <si>
    <t>配置项测试计划</t>
    <phoneticPr fontId="2" type="noConversion"/>
  </si>
  <si>
    <t>用户手册编写</t>
    <phoneticPr fontId="2" type="noConversion"/>
  </si>
  <si>
    <t>配置项测试说明编写</t>
    <phoneticPr fontId="2" type="noConversion"/>
  </si>
  <si>
    <t>配置项测试报告编写</t>
    <phoneticPr fontId="2" type="noConversion"/>
  </si>
  <si>
    <t>研制总结报告编写</t>
    <phoneticPr fontId="2" type="noConversion"/>
  </si>
  <si>
    <t>研制总结报告</t>
    <phoneticPr fontId="2" type="noConversion"/>
  </si>
  <si>
    <t>审核配置项测试计划</t>
    <phoneticPr fontId="2" type="noConversion"/>
  </si>
  <si>
    <t>出厂所检验阶段</t>
    <phoneticPr fontId="2" type="noConversion"/>
  </si>
  <si>
    <t>质量保证工作总结报告拟制</t>
    <phoneticPr fontId="7" type="noConversion"/>
  </si>
  <si>
    <t>研制任务书研讨会</t>
    <phoneticPr fontId="7" type="noConversion"/>
  </si>
  <si>
    <t>阶段进度跟踪</t>
    <phoneticPr fontId="7" type="noConversion"/>
  </si>
  <si>
    <t>出厂所检验阶段</t>
    <phoneticPr fontId="7" type="noConversion"/>
  </si>
  <si>
    <t>配置项测试计划</t>
    <phoneticPr fontId="2" type="noConversion"/>
  </si>
  <si>
    <t>配置项测试说明</t>
    <phoneticPr fontId="7" type="noConversion"/>
  </si>
  <si>
    <t>配置项测试报告</t>
    <phoneticPr fontId="7" type="noConversion"/>
  </si>
  <si>
    <t>序号</t>
    <phoneticPr fontId="2" type="noConversion"/>
  </si>
  <si>
    <t>估计对象</t>
    <phoneticPr fontId="2" type="noConversion"/>
  </si>
  <si>
    <t>工作量估计值</t>
    <phoneticPr fontId="2" type="noConversion"/>
  </si>
  <si>
    <t>计划分配资源</t>
    <phoneticPr fontId="2" type="noConversion"/>
  </si>
  <si>
    <t>任务所需工作日</t>
    <phoneticPr fontId="2" type="noConversion"/>
  </si>
  <si>
    <t>每日可用
工作时间</t>
    <phoneticPr fontId="2" type="noConversion"/>
  </si>
  <si>
    <t>高蕾</t>
    <phoneticPr fontId="2" type="noConversion"/>
  </si>
  <si>
    <t>李闯</t>
    <phoneticPr fontId="2" type="noConversion"/>
  </si>
  <si>
    <t>ZDPX2021163</t>
  </si>
  <si>
    <t>估计轮次</t>
    <phoneticPr fontId="2" type="noConversion"/>
  </si>
  <si>
    <t>王令敏</t>
    <phoneticPr fontId="2" type="noConversion"/>
  </si>
  <si>
    <t xml:space="preserve"> </t>
    <phoneticPr fontId="2" type="noConversion"/>
  </si>
  <si>
    <t>审核验证与确认</t>
    <phoneticPr fontId="7" type="noConversion"/>
  </si>
  <si>
    <t>审核实施基础</t>
    <phoneticPr fontId="2" type="noConversion"/>
  </si>
  <si>
    <t>软件概要设计阶段</t>
    <phoneticPr fontId="7" type="noConversion"/>
  </si>
  <si>
    <t>软件概要设计审核</t>
    <phoneticPr fontId="7" type="noConversion"/>
  </si>
  <si>
    <t>软件详细设计说明审核</t>
    <phoneticPr fontId="7" type="noConversion"/>
  </si>
  <si>
    <t>审核验证与确认</t>
    <phoneticPr fontId="7" type="noConversion"/>
  </si>
  <si>
    <t>单元测试说明审核</t>
    <phoneticPr fontId="2" type="noConversion"/>
  </si>
  <si>
    <t>审核配置项测试报告</t>
    <phoneticPr fontId="7" type="noConversion"/>
  </si>
  <si>
    <t>审核配置项测试说明</t>
    <phoneticPr fontId="7" type="noConversion"/>
  </si>
  <si>
    <t>审核用户手册</t>
    <phoneticPr fontId="7" type="noConversion"/>
  </si>
  <si>
    <t>审核软件操作手册</t>
    <phoneticPr fontId="7" type="noConversion"/>
  </si>
  <si>
    <t>审核验证与确认</t>
    <phoneticPr fontId="7" type="noConversion"/>
  </si>
  <si>
    <t>审核验证与确认过程</t>
    <phoneticPr fontId="2" type="noConversion"/>
  </si>
  <si>
    <t>软件技术方案</t>
    <phoneticPr fontId="2" type="noConversion"/>
  </si>
  <si>
    <t>软件概要设计</t>
    <phoneticPr fontId="2" type="noConversion"/>
  </si>
  <si>
    <t>详细设计说明</t>
    <phoneticPr fontId="2" type="noConversion"/>
  </si>
  <si>
    <t>单元测试计划</t>
    <phoneticPr fontId="2" type="noConversion"/>
  </si>
  <si>
    <t>单元测试说明</t>
    <phoneticPr fontId="2" type="noConversion"/>
  </si>
  <si>
    <t>出厂所检验大纲</t>
    <phoneticPr fontId="2" type="noConversion"/>
  </si>
  <si>
    <t>出厂所检验报告</t>
    <phoneticPr fontId="2" type="noConversion"/>
  </si>
  <si>
    <t>行</t>
    <phoneticPr fontId="2" type="noConversion"/>
  </si>
  <si>
    <t>行</t>
    <phoneticPr fontId="2" type="noConversion"/>
  </si>
  <si>
    <t>行</t>
    <phoneticPr fontId="2" type="noConversion"/>
  </si>
  <si>
    <t>工程类</t>
    <phoneticPr fontId="2" type="noConversion"/>
  </si>
  <si>
    <t>软件概要设计阶段</t>
    <phoneticPr fontId="7" type="noConversion"/>
  </si>
  <si>
    <t>软件基本型详细设计、编码与单元测试阶段</t>
    <phoneticPr fontId="7" type="noConversion"/>
  </si>
  <si>
    <t>软件正样基本型详细设计、编码与单元测试阶段</t>
    <phoneticPr fontId="7" type="noConversion"/>
  </si>
  <si>
    <t>软件设计说明</t>
    <phoneticPr fontId="2" type="noConversion"/>
  </si>
  <si>
    <t>软件设计说明编写</t>
    <phoneticPr fontId="2" type="noConversion"/>
  </si>
  <si>
    <t>执行单元测试</t>
    <phoneticPr fontId="2" type="noConversion"/>
  </si>
  <si>
    <t>执行单元测试</t>
    <phoneticPr fontId="2" type="noConversion"/>
  </si>
  <si>
    <t>软件设计说明编写</t>
    <phoneticPr fontId="2" type="noConversion"/>
  </si>
  <si>
    <t>执行单元测试</t>
    <phoneticPr fontId="2" type="noConversion"/>
  </si>
  <si>
    <t>穆笑岩</t>
    <phoneticPr fontId="2" type="noConversion"/>
  </si>
  <si>
    <t>张晓丰</t>
    <phoneticPr fontId="2" type="noConversion"/>
  </si>
  <si>
    <t>方小娟</t>
    <phoneticPr fontId="2" type="noConversion"/>
  </si>
  <si>
    <t>方小娟</t>
    <phoneticPr fontId="2" type="noConversion"/>
  </si>
  <si>
    <t>李国荣</t>
    <phoneticPr fontId="2" type="noConversion"/>
  </si>
  <si>
    <t>方小娟</t>
    <phoneticPr fontId="2" type="noConversion"/>
  </si>
  <si>
    <t>方小娟、李德馨</t>
    <phoneticPr fontId="2" type="noConversion"/>
  </si>
  <si>
    <t>方小娟、李德馨</t>
    <phoneticPr fontId="2" type="noConversion"/>
  </si>
  <si>
    <t>李国荣</t>
    <phoneticPr fontId="2" type="noConversion"/>
  </si>
  <si>
    <t>李国荣,孙贵磊,张晓丰</t>
    <phoneticPr fontId="2" type="noConversion"/>
  </si>
  <si>
    <t>李国荣,孙贵磊</t>
    <phoneticPr fontId="2" type="noConversion"/>
  </si>
  <si>
    <t>张晓丰</t>
    <phoneticPr fontId="2" type="noConversion"/>
  </si>
  <si>
    <t>ZDPX03012</t>
  </si>
  <si>
    <t>穆笑岩</t>
    <phoneticPr fontId="2" type="noConversion"/>
  </si>
  <si>
    <t>刁鹏</t>
    <phoneticPr fontId="2" type="noConversion"/>
  </si>
  <si>
    <t>孙贵磊</t>
    <phoneticPr fontId="2" type="noConversion"/>
  </si>
  <si>
    <t>ZDPX03012</t>
    <phoneticPr fontId="2" type="noConversion"/>
  </si>
  <si>
    <t>董薇、李静静</t>
    <phoneticPr fontId="2" type="noConversion"/>
  </si>
  <si>
    <t>张晓丰、刁鹏、李国荣</t>
    <phoneticPr fontId="2" type="noConversion"/>
  </si>
  <si>
    <t>张晓丰、孙贵磊</t>
    <phoneticPr fontId="2" type="noConversion"/>
  </si>
  <si>
    <t>董薇、孙贵磊</t>
    <phoneticPr fontId="2" type="noConversion"/>
  </si>
  <si>
    <t>刁鹏、孙贵磊</t>
    <phoneticPr fontId="2" type="noConversion"/>
  </si>
  <si>
    <t>软件设计与编码测试阶段</t>
    <phoneticPr fontId="7" type="noConversion"/>
  </si>
  <si>
    <t>软件合格性测试与验收阶段</t>
    <phoneticPr fontId="7" type="noConversion"/>
  </si>
  <si>
    <t>发布基线</t>
    <phoneticPr fontId="2" type="noConversion"/>
  </si>
  <si>
    <t>配置项变更</t>
    <phoneticPr fontId="2" type="noConversion"/>
  </si>
  <si>
    <t>ZDPX03012</t>
    <phoneticPr fontId="2" type="noConversion"/>
  </si>
  <si>
    <t>ZDPX03012</t>
    <phoneticPr fontId="2" type="noConversion"/>
  </si>
  <si>
    <t>XXX</t>
  </si>
  <si>
    <t>1代码实现</t>
    <phoneticPr fontId="2" type="noConversion"/>
  </si>
  <si>
    <t>2代码实现</t>
    <phoneticPr fontId="2" type="noConversion"/>
  </si>
  <si>
    <t>3代码实现</t>
    <phoneticPr fontId="2" type="noConversion"/>
  </si>
  <si>
    <t>4代码实现</t>
    <phoneticPr fontId="2" type="noConversion"/>
  </si>
  <si>
    <t>文档规模估计基于：
1）文档假设采用公司模板编写，页面设置为A4，字号为小四；
2）出所测试文档假设按照配置项测试文档模板编写；
3）文档规模包含封面在内的所有页；
4）参考软件研制任务书的功能数量；
5）参考XXXXXX项目；
6）专家法估计偏差阈值按20%考虑。</t>
  </si>
  <si>
    <t>文档编写工作量和合格性测试工作量基于：
1）文档编写人员均有同类文档的编写经验，掌握438C军用软件文档编写要求；
2）参考文档估计规模；
3）参考XXXXXX项目；
4）专家法估计偏差阈值按20%考虑。</t>
  </si>
  <si>
    <t>代码规模估计基于：
1）软件源代码的度量按源代码行（LOC）计算，只考虑有效代码行，不考虑注释。
2）软件采用B/S架构，国产化麒麟系统和达梦数据库，代码编写采用C++、Java和JS语言，使用微软VS Code和IDEA开发工具；
3）参考XXXXXX的开发经验和规模经验；
4）参考软件研制任务书中的功能点数量；
5）只对可能发生变化或新增的软件工作产品进行估计。
6）专家法估计偏差阈值按20%考虑。</t>
  </si>
  <si>
    <t>XXXXXX</t>
  </si>
  <si>
    <t>编码、单元测试及软件BUG修改的工作量估计基于：
1）编码人员均有仿真类和评估类项目的开发经验，且熟悉B/S架构的开发模式；
2）参考XXXXXX和XXXXXX中期评估项目的开发经验和规模经验；
3）参考代码估计规模；
4）专家法估计偏差阈值按20%考虑。</t>
  </si>
  <si>
    <t>代码规模估计基于：
1）软件源代码的度量按源代码行（LOC）计算，只考虑有效代码行，不考虑注释。
2）软件采用B/S架构，国产化麒麟系统和达梦数据库，代码编写采用Java和JS语言，使用微软VS Code和IDEA开发工具；
3）参考XXXXXX和XXXXXX中期评估项目的开发经验和规模经验；
4）参考软件研制任务书中的功能点数量；
5）只对可能发生变化或新增的软件工作产品进行估计。
6）专家法估计偏差阈值按20%考虑。</t>
  </si>
  <si>
    <t>工作量与进度安排表</t>
    <phoneticPr fontId="2" type="noConversion"/>
  </si>
  <si>
    <t>代码工作量与进度安排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</si>
</sst>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宋体"/>
      <family val="2"/>
      <charset val="134"/>
      <scheme val="minor"/>
    </font>
    <font>
      <sz val="12"/>
      <color theme="1"/>
      <name val="Times New Roman"/>
      <family val="1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方正舒体"/>
      <family val="3"/>
      <charset val="134"/>
    </font>
    <font>
      <sz val="10"/>
      <color theme="1"/>
      <name val="宋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name val="宋体"/>
      <family val="3"/>
      <charset val="134"/>
    </font>
    <font>
      <b/>
      <sz val="11"/>
      <name val="Times New Roman"/>
      <family val="1"/>
    </font>
    <font>
      <sz val="10"/>
      <color rgb="FF00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rgb="FFFF0000"/>
      <name val="Times New Roman"/>
      <family val="1"/>
    </font>
    <font>
      <sz val="16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</borders>
  <cellStyleXfs count="3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325">
    <xf numFmtId="0" fontId="0" fillId="0" borderId="0" xfId="0">
      <alignment vertical="center"/>
    </xf>
    <xf numFmtId="0" fontId="5" fillId="0" borderId="7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28" xfId="0" applyFont="1" applyBorder="1">
      <alignment vertical="center"/>
    </xf>
    <xf numFmtId="0" fontId="6" fillId="0" borderId="22" xfId="2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8" fillId="0" borderId="1" xfId="2" applyFont="1" applyBorder="1" applyAlignment="1">
      <alignment vertical="center" wrapText="1"/>
    </xf>
    <xf numFmtId="0" fontId="6" fillId="0" borderId="34" xfId="2" applyFont="1" applyBorder="1" applyAlignment="1">
      <alignment vertical="center" wrapText="1"/>
    </xf>
    <xf numFmtId="0" fontId="9" fillId="3" borderId="1" xfId="2" applyFont="1" applyFill="1" applyBorder="1" applyAlignment="1">
      <alignment vertical="center" wrapText="1"/>
    </xf>
    <xf numFmtId="0" fontId="9" fillId="0" borderId="1" xfId="2" applyFont="1" applyBorder="1" applyAlignment="1">
      <alignment vertical="center" wrapText="1"/>
    </xf>
    <xf numFmtId="0" fontId="8" fillId="3" borderId="1" xfId="2" applyFont="1" applyFill="1" applyBorder="1" applyAlignment="1">
      <alignment vertical="center" wrapText="1"/>
    </xf>
    <xf numFmtId="0" fontId="8" fillId="0" borderId="1" xfId="2" applyFont="1" applyBorder="1" applyAlignment="1">
      <alignment wrapText="1"/>
    </xf>
    <xf numFmtId="0" fontId="6" fillId="0" borderId="1" xfId="2" applyFont="1" applyBorder="1" applyAlignment="1">
      <alignment wrapText="1"/>
    </xf>
    <xf numFmtId="0" fontId="6" fillId="3" borderId="1" xfId="2" applyFont="1" applyFill="1" applyBorder="1" applyAlignment="1">
      <alignment vertical="center" wrapText="1"/>
    </xf>
    <xf numFmtId="0" fontId="6" fillId="0" borderId="22" xfId="2" applyFont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2" borderId="2" xfId="0" applyFont="1" applyFill="1" applyBorder="1">
      <alignment vertical="center"/>
    </xf>
    <xf numFmtId="0" fontId="8" fillId="3" borderId="4" xfId="2" applyFont="1" applyFill="1" applyBorder="1" applyAlignment="1">
      <alignment vertical="center" wrapText="1"/>
    </xf>
    <xf numFmtId="0" fontId="10" fillId="3" borderId="4" xfId="2" applyFont="1" applyFill="1" applyBorder="1" applyAlignment="1">
      <alignment vertical="center" wrapText="1"/>
    </xf>
    <xf numFmtId="0" fontId="11" fillId="3" borderId="4" xfId="0" applyFont="1" applyFill="1" applyBorder="1" applyAlignment="1"/>
    <xf numFmtId="0" fontId="8" fillId="0" borderId="2" xfId="2" applyFont="1" applyBorder="1" applyAlignment="1">
      <alignment vertical="center" wrapText="1"/>
    </xf>
    <xf numFmtId="0" fontId="6" fillId="0" borderId="2" xfId="2" applyFont="1" applyBorder="1" applyAlignment="1">
      <alignment vertical="center" wrapText="1"/>
    </xf>
    <xf numFmtId="0" fontId="0" fillId="0" borderId="2" xfId="0" applyBorder="1" applyAlignment="1"/>
    <xf numFmtId="0" fontId="11" fillId="3" borderId="3" xfId="0" applyFont="1" applyFill="1" applyBorder="1" applyAlignment="1"/>
    <xf numFmtId="0" fontId="14" fillId="0" borderId="29" xfId="0" applyFont="1" applyBorder="1" applyAlignment="1">
      <alignment vertical="center" wrapText="1"/>
    </xf>
    <xf numFmtId="0" fontId="12" fillId="0" borderId="5" xfId="0" applyFont="1" applyBorder="1">
      <alignment vertical="center"/>
    </xf>
    <xf numFmtId="0" fontId="14" fillId="0" borderId="16" xfId="0" applyFont="1" applyBorder="1" applyAlignment="1">
      <alignment vertical="center" wrapText="1"/>
    </xf>
    <xf numFmtId="0" fontId="13" fillId="2" borderId="42" xfId="0" applyFont="1" applyFill="1" applyBorder="1">
      <alignment vertical="center"/>
    </xf>
    <xf numFmtId="0" fontId="13" fillId="0" borderId="6" xfId="0" applyFont="1" applyBorder="1" applyAlignment="1">
      <alignment horizontal="center" vertical="center"/>
    </xf>
    <xf numFmtId="0" fontId="6" fillId="0" borderId="7" xfId="2" applyFont="1" applyBorder="1" applyAlignment="1">
      <alignment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6" xfId="2" applyFont="1" applyBorder="1" applyAlignment="1">
      <alignment vertical="center" wrapText="1"/>
    </xf>
    <xf numFmtId="0" fontId="6" fillId="0" borderId="16" xfId="2" applyFont="1" applyBorder="1" applyAlignment="1">
      <alignment vertical="center" wrapText="1"/>
    </xf>
    <xf numFmtId="0" fontId="8" fillId="0" borderId="16" xfId="2" applyFont="1" applyBorder="1" applyAlignment="1">
      <alignment vertical="center" wrapText="1"/>
    </xf>
    <xf numFmtId="0" fontId="6" fillId="0" borderId="5" xfId="2" applyFont="1" applyBorder="1" applyAlignment="1">
      <alignment vertical="center" wrapText="1"/>
    </xf>
    <xf numFmtId="0" fontId="9" fillId="0" borderId="16" xfId="2" applyFont="1" applyBorder="1" applyAlignment="1">
      <alignment vertical="center" wrapText="1"/>
    </xf>
    <xf numFmtId="0" fontId="8" fillId="3" borderId="16" xfId="2" applyFont="1" applyFill="1" applyBorder="1" applyAlignment="1">
      <alignment vertical="center" wrapText="1"/>
    </xf>
    <xf numFmtId="0" fontId="12" fillId="0" borderId="37" xfId="0" applyFont="1" applyBorder="1">
      <alignment vertical="center"/>
    </xf>
    <xf numFmtId="0" fontId="12" fillId="0" borderId="22" xfId="0" applyFont="1" applyBorder="1">
      <alignment vertical="center"/>
    </xf>
    <xf numFmtId="0" fontId="12" fillId="0" borderId="47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13" fillId="0" borderId="5" xfId="0" applyFont="1" applyBorder="1">
      <alignment vertical="center"/>
    </xf>
    <xf numFmtId="0" fontId="13" fillId="0" borderId="15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6" fillId="0" borderId="37" xfId="2" applyFont="1" applyBorder="1" applyAlignment="1">
      <alignment vertical="center" wrapText="1"/>
    </xf>
    <xf numFmtId="0" fontId="6" fillId="0" borderId="38" xfId="2" applyFont="1" applyBorder="1" applyAlignment="1">
      <alignment horizontal="center" vertical="center" wrapText="1"/>
    </xf>
    <xf numFmtId="0" fontId="8" fillId="0" borderId="37" xfId="2" applyFont="1" applyBorder="1" applyAlignment="1">
      <alignment vertical="center" wrapText="1"/>
    </xf>
    <xf numFmtId="0" fontId="6" fillId="0" borderId="47" xfId="2" applyFont="1" applyBorder="1" applyAlignment="1">
      <alignment vertical="center" wrapText="1"/>
    </xf>
    <xf numFmtId="0" fontId="6" fillId="0" borderId="34" xfId="2" applyFont="1" applyBorder="1" applyAlignment="1">
      <alignment wrapText="1"/>
    </xf>
    <xf numFmtId="0" fontId="6" fillId="0" borderId="49" xfId="2" applyFont="1" applyBorder="1" applyAlignment="1">
      <alignment vertical="center" wrapText="1"/>
    </xf>
    <xf numFmtId="0" fontId="0" fillId="0" borderId="21" xfId="0" applyBorder="1">
      <alignment vertical="center"/>
    </xf>
    <xf numFmtId="0" fontId="0" fillId="0" borderId="18" xfId="0" applyBorder="1">
      <alignment vertical="center"/>
    </xf>
    <xf numFmtId="0" fontId="9" fillId="0" borderId="21" xfId="0" applyFont="1" applyBorder="1" applyAlignment="1"/>
    <xf numFmtId="0" fontId="9" fillId="0" borderId="6" xfId="2" applyFont="1" applyBorder="1" applyAlignment="1">
      <alignment horizontal="center" vertical="center" wrapText="1"/>
    </xf>
    <xf numFmtId="0" fontId="0" fillId="0" borderId="16" xfId="0" applyBorder="1">
      <alignment vertical="center"/>
    </xf>
    <xf numFmtId="0" fontId="15" fillId="0" borderId="16" xfId="0" applyFont="1" applyBorder="1" applyAlignment="1">
      <alignment horizontal="justify" vertical="center" wrapText="1"/>
    </xf>
    <xf numFmtId="0" fontId="16" fillId="0" borderId="6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34" xfId="0" applyFont="1" applyBorder="1" applyAlignment="1">
      <alignment horizontal="justify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>
      <alignment vertical="center"/>
    </xf>
    <xf numFmtId="0" fontId="16" fillId="0" borderId="1" xfId="0" applyFont="1" applyBorder="1" applyAlignment="1">
      <alignment horizontal="justify" vertical="center" wrapText="1"/>
    </xf>
    <xf numFmtId="0" fontId="16" fillId="0" borderId="16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16" fillId="0" borderId="4" xfId="0" applyFont="1" applyBorder="1" applyAlignment="1">
      <alignment horizontal="justify" vertical="center" wrapText="1"/>
    </xf>
    <xf numFmtId="0" fontId="19" fillId="0" borderId="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justify" vertical="center" wrapText="1"/>
    </xf>
    <xf numFmtId="0" fontId="21" fillId="0" borderId="1" xfId="0" applyFont="1" applyBorder="1" applyAlignment="1">
      <alignment horizontal="justify" vertical="center" wrapText="1"/>
    </xf>
    <xf numFmtId="0" fontId="22" fillId="0" borderId="5" xfId="0" applyFont="1" applyBorder="1" applyAlignment="1">
      <alignment horizontal="justify" vertical="center" wrapText="1"/>
    </xf>
    <xf numFmtId="0" fontId="19" fillId="0" borderId="6" xfId="0" applyFont="1" applyBorder="1" applyAlignment="1">
      <alignment horizontal="justify" vertical="center" wrapText="1"/>
    </xf>
    <xf numFmtId="0" fontId="19" fillId="0" borderId="1" xfId="0" applyFont="1" applyBorder="1" applyAlignment="1">
      <alignment horizontal="justify" vertical="center" wrapText="1"/>
    </xf>
    <xf numFmtId="0" fontId="21" fillId="0" borderId="7" xfId="0" applyFont="1" applyBorder="1" applyAlignment="1">
      <alignment horizontal="justify" vertical="center" wrapText="1"/>
    </xf>
    <xf numFmtId="0" fontId="21" fillId="0" borderId="6" xfId="0" applyFont="1" applyBorder="1" applyAlignment="1">
      <alignment horizontal="justify" vertical="center" wrapText="1"/>
    </xf>
    <xf numFmtId="0" fontId="21" fillId="0" borderId="16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justify" vertical="center" wrapText="1"/>
    </xf>
    <xf numFmtId="0" fontId="25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6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0" borderId="33" xfId="0" applyFont="1" applyBorder="1" applyAlignment="1">
      <alignment horizontal="justify" vertical="center" wrapText="1"/>
    </xf>
    <xf numFmtId="0" fontId="21" fillId="0" borderId="29" xfId="0" applyFont="1" applyBorder="1" applyAlignment="1">
      <alignment horizontal="justify" vertical="center" wrapText="1"/>
    </xf>
    <xf numFmtId="10" fontId="16" fillId="0" borderId="29" xfId="1" applyNumberFormat="1" applyFont="1" applyBorder="1" applyAlignment="1">
      <alignment horizontal="justify" vertical="center" wrapText="1"/>
    </xf>
    <xf numFmtId="0" fontId="26" fillId="0" borderId="36" xfId="0" applyFont="1" applyBorder="1" applyAlignment="1">
      <alignment horizontal="justify" vertical="center" wrapText="1"/>
    </xf>
    <xf numFmtId="0" fontId="27" fillId="0" borderId="16" xfId="0" applyFont="1" applyBorder="1" applyAlignment="1">
      <alignment horizontal="justify" vertical="center" wrapText="1"/>
    </xf>
    <xf numFmtId="0" fontId="27" fillId="0" borderId="0" xfId="0" applyFont="1" applyAlignment="1">
      <alignment horizontal="justify" vertical="center" wrapText="1"/>
    </xf>
    <xf numFmtId="0" fontId="15" fillId="0" borderId="1" xfId="0" applyFont="1" applyBorder="1" applyAlignment="1">
      <alignment horizontal="justify" vertical="center" wrapText="1"/>
    </xf>
    <xf numFmtId="0" fontId="14" fillId="0" borderId="1" xfId="0" quotePrefix="1" applyFont="1" applyBorder="1" applyAlignment="1">
      <alignment horizontal="right" vertical="center" wrapText="1"/>
    </xf>
    <xf numFmtId="0" fontId="14" fillId="0" borderId="29" xfId="0" quotePrefix="1" applyFont="1" applyBorder="1" applyAlignment="1">
      <alignment horizontal="righ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16" fillId="0" borderId="29" xfId="0" applyFont="1" applyBorder="1" applyAlignment="1">
      <alignment horizontal="justify" vertical="center" wrapText="1"/>
    </xf>
    <xf numFmtId="0" fontId="16" fillId="0" borderId="28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justify" vertical="center" wrapText="1"/>
    </xf>
    <xf numFmtId="0" fontId="16" fillId="0" borderId="29" xfId="0" applyFont="1" applyBorder="1" applyAlignment="1">
      <alignment horizontal="left" vertical="center" wrapText="1"/>
    </xf>
    <xf numFmtId="0" fontId="16" fillId="0" borderId="2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8" xfId="0" applyFont="1" applyBorder="1" applyAlignment="1">
      <alignment horizontal="justify" vertical="center" wrapText="1"/>
    </xf>
    <xf numFmtId="0" fontId="3" fillId="0" borderId="29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 wrapText="1"/>
    </xf>
    <xf numFmtId="0" fontId="19" fillId="0" borderId="32" xfId="0" applyFont="1" applyBorder="1" applyAlignment="1">
      <alignment horizontal="left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justify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justify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justify" vertical="center" wrapText="1"/>
    </xf>
    <xf numFmtId="0" fontId="3" fillId="0" borderId="30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justify" vertical="center" wrapText="1"/>
    </xf>
    <xf numFmtId="0" fontId="16" fillId="0" borderId="5" xfId="0" applyFont="1" applyBorder="1" applyAlignment="1">
      <alignment horizontal="justify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5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9" xfId="0" applyFont="1" applyBorder="1" applyAlignment="1">
      <alignment horizontal="left" vertical="center" wrapText="1"/>
    </xf>
    <xf numFmtId="0" fontId="3" fillId="0" borderId="60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3" fillId="0" borderId="62" xfId="0" applyFont="1" applyBorder="1" applyAlignment="1">
      <alignment horizontal="left" vertical="center" wrapText="1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1" fillId="0" borderId="6" xfId="0" applyFont="1" applyBorder="1" applyAlignment="1">
      <alignment horizontal="justify" vertical="center" wrapText="1"/>
    </xf>
    <xf numFmtId="0" fontId="21" fillId="0" borderId="1" xfId="0" applyFont="1" applyBorder="1" applyAlignment="1">
      <alignment horizontal="justify" vertical="center" wrapText="1"/>
    </xf>
    <xf numFmtId="0" fontId="21" fillId="0" borderId="1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6" fillId="0" borderId="4" xfId="0" applyFont="1" applyBorder="1" applyAlignment="1">
      <alignment horizontal="justify" vertical="center" wrapText="1"/>
    </xf>
    <xf numFmtId="0" fontId="21" fillId="0" borderId="5" xfId="0" applyFont="1" applyBorder="1" applyAlignment="1">
      <alignment horizontal="justify" vertical="center" wrapText="1"/>
    </xf>
    <xf numFmtId="0" fontId="16" fillId="0" borderId="57" xfId="0" applyFont="1" applyBorder="1" applyAlignment="1">
      <alignment horizontal="justify" vertical="center" wrapText="1"/>
    </xf>
    <xf numFmtId="0" fontId="17" fillId="0" borderId="1" xfId="0" applyFont="1" applyBorder="1" applyAlignment="1">
      <alignment horizontal="justify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justify" vertical="center" wrapText="1"/>
    </xf>
    <xf numFmtId="0" fontId="0" fillId="0" borderId="2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21" fillId="0" borderId="16" xfId="0" applyFont="1" applyBorder="1" applyAlignment="1">
      <alignment horizontal="justify" vertical="center" wrapText="1"/>
    </xf>
    <xf numFmtId="0" fontId="16" fillId="0" borderId="15" xfId="0" applyFont="1" applyBorder="1" applyAlignment="1">
      <alignment horizontal="justify" vertical="center" wrapText="1"/>
    </xf>
    <xf numFmtId="0" fontId="17" fillId="0" borderId="22" xfId="0" applyFont="1" applyBorder="1" applyAlignment="1">
      <alignment horizontal="justify" vertical="center" wrapText="1"/>
    </xf>
    <xf numFmtId="10" fontId="15" fillId="0" borderId="1" xfId="1" applyNumberFormat="1" applyFont="1" applyBorder="1" applyAlignment="1">
      <alignment horizontal="justify" vertical="center" wrapText="1"/>
    </xf>
    <xf numFmtId="0" fontId="15" fillId="0" borderId="1" xfId="0" applyFont="1" applyBorder="1" applyAlignment="1">
      <alignment horizontal="justify" vertical="center" wrapText="1"/>
    </xf>
    <xf numFmtId="0" fontId="15" fillId="0" borderId="29" xfId="0" applyFont="1" applyBorder="1" applyAlignment="1">
      <alignment horizontal="justify" vertical="center" wrapText="1"/>
    </xf>
    <xf numFmtId="0" fontId="15" fillId="0" borderId="28" xfId="0" applyFont="1" applyBorder="1" applyAlignment="1">
      <alignment horizontal="justify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63" xfId="0" applyFont="1" applyBorder="1" applyAlignment="1">
      <alignment horizontal="left" vertical="center" wrapText="1"/>
    </xf>
    <xf numFmtId="0" fontId="3" fillId="0" borderId="6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9" fillId="0" borderId="29" xfId="2" applyFont="1" applyBorder="1" applyAlignment="1">
      <alignment horizontal="left" vertical="center" wrapText="1"/>
    </xf>
    <xf numFmtId="0" fontId="9" fillId="0" borderId="27" xfId="2" applyFont="1" applyBorder="1" applyAlignment="1">
      <alignment horizontal="left" vertical="center" wrapText="1"/>
    </xf>
    <xf numFmtId="0" fontId="9" fillId="0" borderId="32" xfId="2" applyFont="1" applyBorder="1" applyAlignment="1">
      <alignment horizontal="left" vertical="center" wrapText="1"/>
    </xf>
    <xf numFmtId="0" fontId="6" fillId="2" borderId="26" xfId="2" applyFont="1" applyFill="1" applyBorder="1" applyAlignment="1">
      <alignment horizontal="center" vertical="center" wrapText="1"/>
    </xf>
    <xf numFmtId="0" fontId="6" fillId="2" borderId="27" xfId="2" applyFont="1" applyFill="1" applyBorder="1" applyAlignment="1">
      <alignment horizontal="center" vertical="center" wrapText="1"/>
    </xf>
    <xf numFmtId="0" fontId="6" fillId="2" borderId="32" xfId="2" applyFont="1" applyFill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23" xfId="2" applyFont="1" applyBorder="1" applyAlignment="1">
      <alignment horizontal="center" vertical="center" wrapText="1"/>
    </xf>
    <xf numFmtId="0" fontId="9" fillId="0" borderId="31" xfId="2" applyFont="1" applyBorder="1" applyAlignment="1">
      <alignment horizontal="center" vertical="center" wrapText="1"/>
    </xf>
    <xf numFmtId="0" fontId="9" fillId="0" borderId="29" xfId="2" applyFont="1" applyBorder="1" applyAlignment="1">
      <alignment horizontal="center" vertical="center" wrapText="1"/>
    </xf>
    <xf numFmtId="0" fontId="9" fillId="0" borderId="32" xfId="2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6" fillId="0" borderId="30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6" fillId="0" borderId="50" xfId="2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9" fillId="0" borderId="51" xfId="2" applyFont="1" applyBorder="1" applyAlignment="1">
      <alignment horizontal="center" vertical="center" wrapText="1"/>
    </xf>
    <xf numFmtId="0" fontId="9" fillId="0" borderId="17" xfId="2" applyFont="1" applyBorder="1" applyAlignment="1">
      <alignment horizontal="center" vertical="center" wrapText="1"/>
    </xf>
    <xf numFmtId="0" fontId="9" fillId="0" borderId="25" xfId="2" applyFont="1" applyBorder="1" applyAlignment="1">
      <alignment horizontal="center" vertical="center" wrapText="1"/>
    </xf>
    <xf numFmtId="0" fontId="9" fillId="0" borderId="50" xfId="2" applyFont="1" applyBorder="1" applyAlignment="1">
      <alignment horizontal="center" vertical="center" wrapText="1"/>
    </xf>
    <xf numFmtId="0" fontId="6" fillId="0" borderId="35" xfId="2" applyFont="1" applyBorder="1" applyAlignment="1">
      <alignment horizontal="center" vertical="center" wrapText="1"/>
    </xf>
    <xf numFmtId="0" fontId="6" fillId="0" borderId="43" xfId="2" applyFont="1" applyBorder="1" applyAlignment="1">
      <alignment horizontal="center" vertical="center" wrapText="1"/>
    </xf>
    <xf numFmtId="0" fontId="6" fillId="0" borderId="37" xfId="2" applyFont="1" applyBorder="1" applyAlignment="1">
      <alignment horizontal="center" vertical="center" wrapText="1"/>
    </xf>
    <xf numFmtId="0" fontId="6" fillId="2" borderId="52" xfId="2" applyFont="1" applyFill="1" applyBorder="1" applyAlignment="1">
      <alignment horizontal="center" vertical="center" wrapText="1"/>
    </xf>
    <xf numFmtId="0" fontId="6" fillId="2" borderId="53" xfId="2" applyFont="1" applyFill="1" applyBorder="1" applyAlignment="1">
      <alignment horizontal="center" vertical="center" wrapText="1"/>
    </xf>
    <xf numFmtId="0" fontId="6" fillId="2" borderId="54" xfId="2" applyFont="1" applyFill="1" applyBorder="1" applyAlignment="1">
      <alignment horizontal="center" vertical="center" wrapText="1"/>
    </xf>
    <xf numFmtId="0" fontId="6" fillId="0" borderId="26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2" borderId="33" xfId="2" applyFont="1" applyFill="1" applyBorder="1" applyAlignment="1">
      <alignment horizontal="center" vertical="center" wrapText="1"/>
    </xf>
    <xf numFmtId="0" fontId="6" fillId="0" borderId="23" xfId="2" applyFont="1" applyBorder="1" applyAlignment="1">
      <alignment horizontal="center" vertical="center" wrapText="1"/>
    </xf>
    <xf numFmtId="0" fontId="6" fillId="0" borderId="48" xfId="2" applyFont="1" applyBorder="1" applyAlignment="1">
      <alignment horizontal="center" vertical="center" wrapText="1"/>
    </xf>
    <xf numFmtId="0" fontId="6" fillId="0" borderId="33" xfId="2" applyFont="1" applyBorder="1" applyAlignment="1">
      <alignment horizontal="center" vertical="center" wrapText="1"/>
    </xf>
    <xf numFmtId="0" fontId="9" fillId="0" borderId="33" xfId="2" applyFont="1" applyBorder="1" applyAlignment="1">
      <alignment horizontal="left" vertical="center" wrapText="1"/>
    </xf>
    <xf numFmtId="0" fontId="12" fillId="2" borderId="41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right" vertical="center" wrapText="1"/>
    </xf>
    <xf numFmtId="0" fontId="13" fillId="0" borderId="64" xfId="0" applyFont="1" applyBorder="1" applyAlignment="1">
      <alignment horizontal="right" vertical="center" wrapText="1"/>
    </xf>
    <xf numFmtId="0" fontId="13" fillId="0" borderId="22" xfId="0" applyFont="1" applyBorder="1" applyAlignment="1">
      <alignment horizontal="right" vertical="center" wrapText="1"/>
    </xf>
    <xf numFmtId="0" fontId="14" fillId="0" borderId="34" xfId="0" applyFont="1" applyBorder="1" applyAlignment="1">
      <alignment horizontal="right" vertical="center" wrapText="1"/>
    </xf>
    <xf numFmtId="0" fontId="14" fillId="0" borderId="64" xfId="0" applyFont="1" applyBorder="1" applyAlignment="1">
      <alignment horizontal="right" vertical="center" wrapText="1"/>
    </xf>
    <xf numFmtId="0" fontId="14" fillId="0" borderId="22" xfId="0" applyFont="1" applyBorder="1" applyAlignment="1">
      <alignment horizontal="right" vertical="center" wrapText="1"/>
    </xf>
    <xf numFmtId="0" fontId="14" fillId="0" borderId="49" xfId="0" applyFont="1" applyBorder="1" applyAlignment="1">
      <alignment horizontal="right" vertical="center" wrapText="1"/>
    </xf>
    <xf numFmtId="0" fontId="14" fillId="0" borderId="65" xfId="0" applyFont="1" applyBorder="1" applyAlignment="1">
      <alignment horizontal="right" vertical="center" wrapText="1"/>
    </xf>
    <xf numFmtId="0" fontId="14" fillId="0" borderId="47" xfId="0" applyFont="1" applyBorder="1" applyAlignment="1">
      <alignment horizontal="right" vertical="center" wrapText="1"/>
    </xf>
    <xf numFmtId="0" fontId="21" fillId="2" borderId="26" xfId="0" applyFont="1" applyFill="1" applyBorder="1" applyAlignment="1">
      <alignment horizontal="center" vertical="center" wrapText="1"/>
    </xf>
    <xf numFmtId="0" fontId="22" fillId="2" borderId="27" xfId="0" applyFont="1" applyFill="1" applyBorder="1" applyAlignment="1">
      <alignment horizontal="center" vertical="center" wrapText="1"/>
    </xf>
    <xf numFmtId="0" fontId="22" fillId="2" borderId="32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justify" vertical="center" wrapText="1"/>
    </xf>
    <xf numFmtId="0" fontId="23" fillId="2" borderId="26" xfId="0" applyFont="1" applyFill="1" applyBorder="1" applyAlignment="1">
      <alignment horizontal="center" vertical="center" wrapText="1"/>
    </xf>
    <xf numFmtId="0" fontId="24" fillId="2" borderId="27" xfId="0" applyFont="1" applyFill="1" applyBorder="1" applyAlignment="1">
      <alignment horizontal="center" vertical="center" wrapText="1"/>
    </xf>
    <xf numFmtId="0" fontId="24" fillId="2" borderId="32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justify" vertical="center" wrapText="1"/>
    </xf>
    <xf numFmtId="0" fontId="20" fillId="0" borderId="27" xfId="0" applyFont="1" applyBorder="1" applyAlignment="1">
      <alignment horizontal="justify" vertical="center" wrapText="1"/>
    </xf>
    <xf numFmtId="0" fontId="20" fillId="0" borderId="28" xfId="0" applyFont="1" applyBorder="1" applyAlignment="1">
      <alignment horizontal="justify" vertical="center" wrapText="1"/>
    </xf>
    <xf numFmtId="0" fontId="21" fillId="2" borderId="27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32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justify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2" borderId="27" xfId="0" applyFont="1" applyFill="1" applyBorder="1" applyAlignment="1">
      <alignment horizontal="center" vertical="center" wrapText="1"/>
    </xf>
    <xf numFmtId="0" fontId="23" fillId="2" borderId="32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2">
    <dxf>
      <fill>
        <patternFill>
          <bgColor theme="7" tint="0.39994506668294322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4"/>
  <sheetViews>
    <sheetView view="pageLayout" zoomScaleNormal="100" workbookViewId="0">
      <selection activeCell="N231" sqref="N231"/>
    </sheetView>
  </sheetViews>
  <sheetFormatPr baseColWidth="10" defaultColWidth="8.83203125" defaultRowHeight="14"/>
  <cols>
    <col min="3" max="3" width="1.83203125" customWidth="1"/>
    <col min="5" max="5" width="3.5" customWidth="1"/>
    <col min="7" max="7" width="8.83203125" customWidth="1"/>
    <col min="8" max="8" width="4.6640625" customWidth="1"/>
    <col min="9" max="9" width="5.33203125" customWidth="1"/>
    <col min="10" max="10" width="8.1640625" customWidth="1"/>
    <col min="11" max="11" width="2.33203125" customWidth="1"/>
    <col min="12" max="12" width="12.6640625" customWidth="1"/>
    <col min="15" max="15" width="3.1640625" customWidth="1"/>
    <col min="17" max="17" width="4.1640625" customWidth="1"/>
    <col min="20" max="20" width="7.6640625" customWidth="1"/>
    <col min="21" max="21" width="2" customWidth="1"/>
    <col min="22" max="22" width="8.6640625" customWidth="1"/>
    <col min="23" max="23" width="1.5" customWidth="1"/>
    <col min="24" max="24" width="11" customWidth="1"/>
  </cols>
  <sheetData>
    <row r="1" spans="1:24" ht="29" customHeight="1" thickTop="1">
      <c r="A1" s="140" t="s">
        <v>42</v>
      </c>
      <c r="B1" s="141"/>
      <c r="C1" s="142" t="s">
        <v>254</v>
      </c>
      <c r="D1" s="143"/>
      <c r="E1" s="143"/>
      <c r="F1" s="143"/>
      <c r="G1" s="118" t="s">
        <v>1</v>
      </c>
      <c r="H1" s="119"/>
      <c r="I1" s="118" t="s">
        <v>238</v>
      </c>
      <c r="J1" s="120"/>
      <c r="K1" s="120"/>
      <c r="L1" s="121"/>
      <c r="M1" s="140" t="s">
        <v>42</v>
      </c>
      <c r="N1" s="141"/>
      <c r="O1" s="142" t="s">
        <v>254</v>
      </c>
      <c r="P1" s="143"/>
      <c r="Q1" s="143"/>
      <c r="R1" s="143"/>
      <c r="S1" s="118" t="s">
        <v>1</v>
      </c>
      <c r="T1" s="119"/>
      <c r="U1" s="118" t="s">
        <v>238</v>
      </c>
      <c r="V1" s="120"/>
      <c r="W1" s="120"/>
      <c r="X1" s="121"/>
    </row>
    <row r="2" spans="1:24" ht="33" customHeight="1">
      <c r="A2" s="61" t="s">
        <v>2</v>
      </c>
      <c r="B2" s="107" t="s">
        <v>226</v>
      </c>
      <c r="C2" s="125"/>
      <c r="D2" s="126" t="s">
        <v>3</v>
      </c>
      <c r="E2" s="125"/>
      <c r="F2" s="100" t="s">
        <v>155</v>
      </c>
      <c r="G2" s="100"/>
      <c r="H2" s="100"/>
      <c r="I2" s="126" t="s">
        <v>4</v>
      </c>
      <c r="J2" s="125"/>
      <c r="K2" s="100">
        <v>1</v>
      </c>
      <c r="L2" s="127"/>
      <c r="M2" s="61" t="s">
        <v>2</v>
      </c>
      <c r="N2" s="107" t="s">
        <v>50</v>
      </c>
      <c r="O2" s="125"/>
      <c r="P2" s="126" t="s">
        <v>3</v>
      </c>
      <c r="Q2" s="125"/>
      <c r="R2" s="100" t="s">
        <v>156</v>
      </c>
      <c r="S2" s="100"/>
      <c r="T2" s="100"/>
      <c r="U2" s="126" t="s">
        <v>4</v>
      </c>
      <c r="V2" s="125"/>
      <c r="W2" s="100">
        <v>1</v>
      </c>
      <c r="X2" s="127"/>
    </row>
    <row r="3" spans="1:24" ht="21.5" customHeight="1">
      <c r="A3" s="130" t="s">
        <v>5</v>
      </c>
      <c r="B3" s="108"/>
      <c r="C3" s="125"/>
      <c r="D3" s="107" t="s">
        <v>26</v>
      </c>
      <c r="E3" s="108"/>
      <c r="F3" s="108"/>
      <c r="G3" s="108"/>
      <c r="H3" s="108"/>
      <c r="I3" s="108"/>
      <c r="J3" s="108"/>
      <c r="K3" s="108"/>
      <c r="L3" s="109"/>
      <c r="M3" s="130" t="s">
        <v>5</v>
      </c>
      <c r="N3" s="108"/>
      <c r="O3" s="125"/>
      <c r="P3" s="107" t="s">
        <v>26</v>
      </c>
      <c r="Q3" s="108"/>
      <c r="R3" s="108"/>
      <c r="S3" s="108"/>
      <c r="T3" s="108"/>
      <c r="U3" s="108"/>
      <c r="V3" s="108"/>
      <c r="W3" s="108"/>
      <c r="X3" s="109"/>
    </row>
    <row r="4" spans="1:24" ht="109.5" customHeight="1">
      <c r="A4" s="110" t="s">
        <v>6</v>
      </c>
      <c r="B4" s="111"/>
      <c r="C4" s="112"/>
      <c r="D4" s="103" t="s">
        <v>259</v>
      </c>
      <c r="E4" s="128"/>
      <c r="F4" s="128"/>
      <c r="G4" s="128"/>
      <c r="H4" s="128"/>
      <c r="I4" s="128"/>
      <c r="J4" s="128"/>
      <c r="K4" s="128"/>
      <c r="L4" s="129"/>
      <c r="M4" s="131" t="s">
        <v>137</v>
      </c>
      <c r="N4" s="132"/>
      <c r="O4" s="133"/>
      <c r="P4" s="103" t="s">
        <v>259</v>
      </c>
      <c r="Q4" s="128"/>
      <c r="R4" s="128"/>
      <c r="S4" s="128"/>
      <c r="T4" s="128"/>
      <c r="U4" s="128"/>
      <c r="V4" s="128"/>
      <c r="W4" s="128"/>
      <c r="X4" s="129"/>
    </row>
    <row r="5" spans="1:24" ht="84" customHeight="1">
      <c r="A5" s="113"/>
      <c r="B5" s="114"/>
      <c r="C5" s="115"/>
      <c r="D5" s="95" t="s">
        <v>260</v>
      </c>
      <c r="E5" s="128"/>
      <c r="F5" s="128"/>
      <c r="G5" s="128"/>
      <c r="H5" s="128"/>
      <c r="I5" s="128"/>
      <c r="J5" s="128"/>
      <c r="K5" s="128"/>
      <c r="L5" s="129"/>
      <c r="M5" s="134"/>
      <c r="N5" s="135"/>
      <c r="O5" s="136"/>
      <c r="P5" s="95" t="s">
        <v>260</v>
      </c>
      <c r="Q5" s="128"/>
      <c r="R5" s="128"/>
      <c r="S5" s="128"/>
      <c r="T5" s="128"/>
      <c r="U5" s="128"/>
      <c r="V5" s="128"/>
      <c r="W5" s="128"/>
      <c r="X5" s="129"/>
    </row>
    <row r="6" spans="1:24" ht="15.5" customHeight="1">
      <c r="A6" s="116" t="s">
        <v>7</v>
      </c>
      <c r="B6" s="117" t="s">
        <v>8</v>
      </c>
      <c r="C6" s="117"/>
      <c r="D6" s="117"/>
      <c r="E6" s="117"/>
      <c r="F6" s="117" t="s">
        <v>43</v>
      </c>
      <c r="G6" s="117" t="s">
        <v>10</v>
      </c>
      <c r="H6" s="117"/>
      <c r="I6" s="117"/>
      <c r="J6" s="117"/>
      <c r="K6" s="117"/>
      <c r="L6" s="62" t="s">
        <v>11</v>
      </c>
      <c r="M6" s="116" t="s">
        <v>7</v>
      </c>
      <c r="N6" s="117" t="s">
        <v>8</v>
      </c>
      <c r="O6" s="117"/>
      <c r="P6" s="117"/>
      <c r="Q6" s="117"/>
      <c r="R6" s="117" t="s">
        <v>43</v>
      </c>
      <c r="S6" s="117" t="s">
        <v>10</v>
      </c>
      <c r="T6" s="117"/>
      <c r="U6" s="117"/>
      <c r="V6" s="117"/>
      <c r="W6" s="117"/>
      <c r="X6" s="62" t="s">
        <v>11</v>
      </c>
    </row>
    <row r="7" spans="1:24" ht="18" customHeight="1">
      <c r="A7" s="137"/>
      <c r="B7" s="138"/>
      <c r="C7" s="138"/>
      <c r="D7" s="138"/>
      <c r="E7" s="138"/>
      <c r="F7" s="138"/>
      <c r="G7" s="63" t="s">
        <v>12</v>
      </c>
      <c r="H7" s="139" t="s">
        <v>13</v>
      </c>
      <c r="I7" s="139"/>
      <c r="J7" s="139" t="s">
        <v>17</v>
      </c>
      <c r="K7" s="139"/>
      <c r="L7" s="89"/>
      <c r="M7" s="116"/>
      <c r="N7" s="117"/>
      <c r="O7" s="117"/>
      <c r="P7" s="117"/>
      <c r="Q7" s="117"/>
      <c r="R7" s="117"/>
      <c r="S7" s="68" t="s">
        <v>12</v>
      </c>
      <c r="T7" s="105" t="s">
        <v>13</v>
      </c>
      <c r="U7" s="105"/>
      <c r="V7" s="105" t="s">
        <v>17</v>
      </c>
      <c r="W7" s="105"/>
      <c r="X7" s="69"/>
    </row>
    <row r="8" spans="1:24" ht="16.25" customHeight="1">
      <c r="A8" s="64">
        <v>1</v>
      </c>
      <c r="B8" s="101" t="s">
        <v>27</v>
      </c>
      <c r="C8" s="101"/>
      <c r="D8" s="101"/>
      <c r="E8" s="101"/>
      <c r="F8" s="65" t="s">
        <v>14</v>
      </c>
      <c r="G8" s="66">
        <f>H8+J8</f>
        <v>35</v>
      </c>
      <c r="H8" s="98">
        <v>35</v>
      </c>
      <c r="I8" s="99"/>
      <c r="J8" s="98">
        <v>0</v>
      </c>
      <c r="K8" s="99"/>
      <c r="L8" s="90"/>
      <c r="M8" s="64">
        <v>1</v>
      </c>
      <c r="N8" s="101" t="s">
        <v>27</v>
      </c>
      <c r="O8" s="101"/>
      <c r="P8" s="101"/>
      <c r="Q8" s="101"/>
      <c r="R8" s="65" t="s">
        <v>14</v>
      </c>
      <c r="S8" s="66">
        <f>T8+V8</f>
        <v>35</v>
      </c>
      <c r="T8" s="98">
        <v>35</v>
      </c>
      <c r="U8" s="99"/>
      <c r="V8" s="98">
        <v>0</v>
      </c>
      <c r="W8" s="99"/>
      <c r="X8" s="69"/>
    </row>
    <row r="9" spans="1:24" ht="18" customHeight="1">
      <c r="A9" s="64">
        <v>2</v>
      </c>
      <c r="B9" s="101" t="s">
        <v>28</v>
      </c>
      <c r="C9" s="101"/>
      <c r="D9" s="101"/>
      <c r="E9" s="101"/>
      <c r="F9" s="65" t="s">
        <v>14</v>
      </c>
      <c r="G9" s="66">
        <f t="shared" ref="G9:G20" si="0">H9+J9</f>
        <v>17</v>
      </c>
      <c r="H9" s="98">
        <v>17</v>
      </c>
      <c r="I9" s="99"/>
      <c r="J9" s="100">
        <v>0</v>
      </c>
      <c r="K9" s="100"/>
      <c r="L9" s="90"/>
      <c r="M9" s="64">
        <v>2</v>
      </c>
      <c r="N9" s="101" t="s">
        <v>28</v>
      </c>
      <c r="O9" s="101"/>
      <c r="P9" s="101"/>
      <c r="Q9" s="101"/>
      <c r="R9" s="65" t="s">
        <v>14</v>
      </c>
      <c r="S9" s="66">
        <f t="shared" ref="S9:S20" si="1">T9+V9</f>
        <v>14</v>
      </c>
      <c r="T9" s="98">
        <v>14</v>
      </c>
      <c r="U9" s="99"/>
      <c r="V9" s="100">
        <v>0</v>
      </c>
      <c r="W9" s="100"/>
      <c r="X9" s="69"/>
    </row>
    <row r="10" spans="1:24" ht="17.5" customHeight="1">
      <c r="A10" s="64">
        <v>3</v>
      </c>
      <c r="B10" s="101" t="s">
        <v>29</v>
      </c>
      <c r="C10" s="101"/>
      <c r="D10" s="101"/>
      <c r="E10" s="101"/>
      <c r="F10" s="65" t="s">
        <v>14</v>
      </c>
      <c r="G10" s="66">
        <f t="shared" si="0"/>
        <v>15</v>
      </c>
      <c r="H10" s="100">
        <v>15</v>
      </c>
      <c r="I10" s="100"/>
      <c r="J10" s="100">
        <v>0</v>
      </c>
      <c r="K10" s="100"/>
      <c r="L10" s="90"/>
      <c r="M10" s="64">
        <v>3</v>
      </c>
      <c r="N10" s="101" t="s">
        <v>29</v>
      </c>
      <c r="O10" s="101"/>
      <c r="P10" s="101"/>
      <c r="Q10" s="101"/>
      <c r="R10" s="65" t="s">
        <v>14</v>
      </c>
      <c r="S10" s="66">
        <f t="shared" si="1"/>
        <v>15</v>
      </c>
      <c r="T10" s="100">
        <v>15</v>
      </c>
      <c r="U10" s="100"/>
      <c r="V10" s="100">
        <v>0</v>
      </c>
      <c r="W10" s="100"/>
      <c r="X10" s="69"/>
    </row>
    <row r="11" spans="1:24" ht="15" customHeight="1">
      <c r="A11" s="64">
        <v>4</v>
      </c>
      <c r="B11" s="95" t="s">
        <v>30</v>
      </c>
      <c r="C11" s="96"/>
      <c r="D11" s="96"/>
      <c r="E11" s="97"/>
      <c r="F11" s="65" t="s">
        <v>14</v>
      </c>
      <c r="G11" s="66">
        <f t="shared" si="0"/>
        <v>11</v>
      </c>
      <c r="H11" s="98">
        <v>11</v>
      </c>
      <c r="I11" s="99"/>
      <c r="J11" s="100">
        <v>0</v>
      </c>
      <c r="K11" s="100"/>
      <c r="L11" s="90"/>
      <c r="M11" s="64">
        <v>4</v>
      </c>
      <c r="N11" s="95" t="s">
        <v>30</v>
      </c>
      <c r="O11" s="96"/>
      <c r="P11" s="96"/>
      <c r="Q11" s="97"/>
      <c r="R11" s="65" t="s">
        <v>14</v>
      </c>
      <c r="S11" s="66">
        <f t="shared" si="1"/>
        <v>11</v>
      </c>
      <c r="T11" s="98">
        <v>11</v>
      </c>
      <c r="U11" s="99"/>
      <c r="V11" s="100">
        <v>0</v>
      </c>
      <c r="W11" s="100"/>
      <c r="X11" s="69"/>
    </row>
    <row r="12" spans="1:24" ht="15.5" customHeight="1">
      <c r="A12" s="64">
        <v>5</v>
      </c>
      <c r="B12" s="95" t="s">
        <v>31</v>
      </c>
      <c r="C12" s="96"/>
      <c r="D12" s="96"/>
      <c r="E12" s="97"/>
      <c r="F12" s="65" t="s">
        <v>14</v>
      </c>
      <c r="G12" s="66">
        <f t="shared" si="0"/>
        <v>50</v>
      </c>
      <c r="H12" s="98">
        <v>50</v>
      </c>
      <c r="I12" s="99"/>
      <c r="J12" s="100">
        <v>0</v>
      </c>
      <c r="K12" s="100"/>
      <c r="L12" s="90"/>
      <c r="M12" s="64">
        <v>5</v>
      </c>
      <c r="N12" s="95" t="s">
        <v>31</v>
      </c>
      <c r="O12" s="96"/>
      <c r="P12" s="96"/>
      <c r="Q12" s="97"/>
      <c r="R12" s="65" t="s">
        <v>14</v>
      </c>
      <c r="S12" s="66">
        <v>55</v>
      </c>
      <c r="T12" s="98">
        <v>55</v>
      </c>
      <c r="U12" s="99"/>
      <c r="V12" s="100">
        <v>0</v>
      </c>
      <c r="W12" s="100"/>
      <c r="X12" s="69"/>
    </row>
    <row r="13" spans="1:24" ht="15.5" customHeight="1">
      <c r="A13" s="64">
        <v>6</v>
      </c>
      <c r="B13" s="95" t="s">
        <v>161</v>
      </c>
      <c r="C13" s="96"/>
      <c r="D13" s="96"/>
      <c r="E13" s="97"/>
      <c r="F13" s="65" t="s">
        <v>162</v>
      </c>
      <c r="G13" s="66">
        <f t="shared" si="0"/>
        <v>20</v>
      </c>
      <c r="H13" s="103">
        <v>20</v>
      </c>
      <c r="I13" s="104"/>
      <c r="J13" s="103">
        <v>0</v>
      </c>
      <c r="K13" s="104"/>
      <c r="L13" s="90"/>
      <c r="M13" s="64">
        <v>6</v>
      </c>
      <c r="N13" s="95" t="s">
        <v>161</v>
      </c>
      <c r="O13" s="96"/>
      <c r="P13" s="96"/>
      <c r="Q13" s="97"/>
      <c r="R13" s="65" t="s">
        <v>62</v>
      </c>
      <c r="S13" s="66">
        <f t="shared" si="1"/>
        <v>17</v>
      </c>
      <c r="T13" s="103">
        <v>17</v>
      </c>
      <c r="U13" s="104"/>
      <c r="V13" s="103">
        <v>0</v>
      </c>
      <c r="W13" s="104"/>
      <c r="X13" s="69"/>
    </row>
    <row r="14" spans="1:24" ht="15.5" customHeight="1">
      <c r="A14" s="64">
        <v>7</v>
      </c>
      <c r="B14" s="95" t="s">
        <v>220</v>
      </c>
      <c r="C14" s="96"/>
      <c r="D14" s="96"/>
      <c r="E14" s="97"/>
      <c r="F14" s="65" t="s">
        <v>14</v>
      </c>
      <c r="G14" s="66">
        <v>100</v>
      </c>
      <c r="H14" s="98">
        <v>100</v>
      </c>
      <c r="I14" s="99"/>
      <c r="J14" s="100">
        <v>0</v>
      </c>
      <c r="K14" s="100"/>
      <c r="L14" s="90"/>
      <c r="M14" s="64">
        <v>7</v>
      </c>
      <c r="N14" s="95" t="s">
        <v>220</v>
      </c>
      <c r="O14" s="96"/>
      <c r="P14" s="96"/>
      <c r="Q14" s="97"/>
      <c r="R14" s="65" t="s">
        <v>14</v>
      </c>
      <c r="S14" s="66">
        <f t="shared" si="1"/>
        <v>90</v>
      </c>
      <c r="T14" s="98">
        <v>90</v>
      </c>
      <c r="U14" s="99"/>
      <c r="V14" s="100">
        <v>0</v>
      </c>
      <c r="W14" s="100"/>
      <c r="X14" s="69"/>
    </row>
    <row r="15" spans="1:24" ht="15.5" customHeight="1">
      <c r="A15" s="64">
        <v>8</v>
      </c>
      <c r="B15" s="95" t="s">
        <v>32</v>
      </c>
      <c r="C15" s="96"/>
      <c r="D15" s="96"/>
      <c r="E15" s="97"/>
      <c r="F15" s="65" t="s">
        <v>14</v>
      </c>
      <c r="G15" s="66">
        <f t="shared" si="0"/>
        <v>0</v>
      </c>
      <c r="H15" s="98"/>
      <c r="I15" s="99"/>
      <c r="J15" s="100">
        <v>0</v>
      </c>
      <c r="K15" s="100"/>
      <c r="L15" s="90"/>
      <c r="M15" s="64">
        <v>8</v>
      </c>
      <c r="N15" s="95" t="s">
        <v>32</v>
      </c>
      <c r="O15" s="96"/>
      <c r="P15" s="96"/>
      <c r="Q15" s="97"/>
      <c r="R15" s="65" t="s">
        <v>14</v>
      </c>
      <c r="S15" s="66">
        <f t="shared" si="1"/>
        <v>0</v>
      </c>
      <c r="T15" s="98"/>
      <c r="U15" s="99"/>
      <c r="V15" s="100">
        <v>0</v>
      </c>
      <c r="W15" s="100"/>
      <c r="X15" s="69"/>
    </row>
    <row r="16" spans="1:24" ht="15.5" customHeight="1">
      <c r="A16" s="64">
        <v>9</v>
      </c>
      <c r="B16" s="95" t="s">
        <v>33</v>
      </c>
      <c r="C16" s="96"/>
      <c r="D16" s="96"/>
      <c r="E16" s="97"/>
      <c r="F16" s="65" t="s">
        <v>14</v>
      </c>
      <c r="G16" s="66">
        <f t="shared" si="0"/>
        <v>0</v>
      </c>
      <c r="H16" s="98"/>
      <c r="I16" s="99"/>
      <c r="J16" s="100">
        <v>0</v>
      </c>
      <c r="K16" s="100"/>
      <c r="L16" s="90"/>
      <c r="M16" s="64">
        <v>9</v>
      </c>
      <c r="N16" s="95" t="s">
        <v>33</v>
      </c>
      <c r="O16" s="96"/>
      <c r="P16" s="96"/>
      <c r="Q16" s="97"/>
      <c r="R16" s="65" t="s">
        <v>14</v>
      </c>
      <c r="S16" s="66">
        <f t="shared" si="1"/>
        <v>0</v>
      </c>
      <c r="T16" s="98"/>
      <c r="U16" s="99"/>
      <c r="V16" s="100">
        <v>0</v>
      </c>
      <c r="W16" s="100"/>
      <c r="X16" s="69"/>
    </row>
    <row r="17" spans="1:24" ht="15.5" customHeight="1">
      <c r="A17" s="64">
        <v>10</v>
      </c>
      <c r="B17" s="95" t="s">
        <v>163</v>
      </c>
      <c r="C17" s="96"/>
      <c r="D17" s="96"/>
      <c r="E17" s="97"/>
      <c r="F17" s="65" t="s">
        <v>14</v>
      </c>
      <c r="G17" s="66">
        <v>40</v>
      </c>
      <c r="H17" s="98">
        <v>40</v>
      </c>
      <c r="I17" s="99"/>
      <c r="J17" s="100">
        <v>0</v>
      </c>
      <c r="K17" s="100"/>
      <c r="L17" s="90"/>
      <c r="M17" s="64">
        <v>10</v>
      </c>
      <c r="N17" s="95" t="s">
        <v>163</v>
      </c>
      <c r="O17" s="96"/>
      <c r="P17" s="96"/>
      <c r="Q17" s="97"/>
      <c r="R17" s="65" t="s">
        <v>14</v>
      </c>
      <c r="S17" s="66">
        <f t="shared" si="1"/>
        <v>40</v>
      </c>
      <c r="T17" s="98">
        <v>40</v>
      </c>
      <c r="U17" s="99"/>
      <c r="V17" s="100">
        <v>0</v>
      </c>
      <c r="W17" s="100"/>
      <c r="X17" s="69"/>
    </row>
    <row r="18" spans="1:24" ht="15" customHeight="1">
      <c r="A18" s="64">
        <v>11</v>
      </c>
      <c r="B18" s="95" t="s">
        <v>164</v>
      </c>
      <c r="C18" s="96"/>
      <c r="D18" s="96"/>
      <c r="E18" s="97"/>
      <c r="F18" s="65" t="s">
        <v>14</v>
      </c>
      <c r="G18" s="66">
        <v>70</v>
      </c>
      <c r="H18" s="98">
        <v>70</v>
      </c>
      <c r="I18" s="99"/>
      <c r="J18" s="100">
        <v>0</v>
      </c>
      <c r="K18" s="100"/>
      <c r="L18" s="90"/>
      <c r="M18" s="64">
        <v>11</v>
      </c>
      <c r="N18" s="95" t="s">
        <v>164</v>
      </c>
      <c r="O18" s="96"/>
      <c r="P18" s="96"/>
      <c r="Q18" s="97"/>
      <c r="R18" s="65" t="s">
        <v>14</v>
      </c>
      <c r="S18" s="66">
        <v>70</v>
      </c>
      <c r="T18" s="98">
        <v>70</v>
      </c>
      <c r="U18" s="99"/>
      <c r="V18" s="100">
        <v>0</v>
      </c>
      <c r="W18" s="100"/>
      <c r="X18" s="69"/>
    </row>
    <row r="19" spans="1:24" ht="15" customHeight="1">
      <c r="A19" s="64">
        <v>12</v>
      </c>
      <c r="B19" s="101" t="s">
        <v>165</v>
      </c>
      <c r="C19" s="101"/>
      <c r="D19" s="101"/>
      <c r="E19" s="101"/>
      <c r="F19" s="65" t="s">
        <v>14</v>
      </c>
      <c r="G19" s="66">
        <f t="shared" si="0"/>
        <v>30</v>
      </c>
      <c r="H19" s="98">
        <v>30</v>
      </c>
      <c r="I19" s="99"/>
      <c r="J19" s="100">
        <v>0</v>
      </c>
      <c r="K19" s="100"/>
      <c r="L19" s="90"/>
      <c r="M19" s="64">
        <v>12</v>
      </c>
      <c r="N19" s="101" t="s">
        <v>165</v>
      </c>
      <c r="O19" s="101"/>
      <c r="P19" s="101"/>
      <c r="Q19" s="101"/>
      <c r="R19" s="65" t="s">
        <v>14</v>
      </c>
      <c r="S19" s="66">
        <f t="shared" si="1"/>
        <v>30</v>
      </c>
      <c r="T19" s="98">
        <v>30</v>
      </c>
      <c r="U19" s="99"/>
      <c r="V19" s="100">
        <v>0</v>
      </c>
      <c r="W19" s="100"/>
      <c r="X19" s="69"/>
    </row>
    <row r="20" spans="1:24" ht="15" customHeight="1">
      <c r="A20" s="64">
        <v>13</v>
      </c>
      <c r="B20" s="101" t="s">
        <v>171</v>
      </c>
      <c r="C20" s="101"/>
      <c r="D20" s="101"/>
      <c r="E20" s="101"/>
      <c r="F20" s="65" t="s">
        <v>14</v>
      </c>
      <c r="G20" s="66">
        <f t="shared" si="0"/>
        <v>0</v>
      </c>
      <c r="H20" s="98"/>
      <c r="I20" s="99"/>
      <c r="J20" s="100">
        <v>0</v>
      </c>
      <c r="K20" s="100"/>
      <c r="L20" s="90"/>
      <c r="M20" s="64">
        <v>13</v>
      </c>
      <c r="N20" s="101" t="s">
        <v>171</v>
      </c>
      <c r="O20" s="101"/>
      <c r="P20" s="101"/>
      <c r="Q20" s="101"/>
      <c r="R20" s="65" t="s">
        <v>14</v>
      </c>
      <c r="S20" s="66">
        <f t="shared" si="1"/>
        <v>0</v>
      </c>
      <c r="T20" s="98"/>
      <c r="U20" s="99"/>
      <c r="V20" s="100">
        <v>0</v>
      </c>
      <c r="W20" s="100"/>
      <c r="X20" s="69"/>
    </row>
    <row r="21" spans="1:24" ht="15" customHeight="1">
      <c r="A21" s="64">
        <v>14</v>
      </c>
      <c r="B21" s="101" t="s">
        <v>34</v>
      </c>
      <c r="C21" s="101"/>
      <c r="D21" s="101"/>
      <c r="E21" s="101"/>
      <c r="F21" s="65" t="s">
        <v>41</v>
      </c>
      <c r="G21" s="66">
        <v>12</v>
      </c>
      <c r="H21" s="102" t="s">
        <v>44</v>
      </c>
      <c r="I21" s="106"/>
      <c r="J21" s="102" t="s">
        <v>44</v>
      </c>
      <c r="K21" s="99"/>
      <c r="L21" s="90"/>
      <c r="M21" s="64">
        <v>14</v>
      </c>
      <c r="N21" s="101" t="s">
        <v>34</v>
      </c>
      <c r="O21" s="101"/>
      <c r="P21" s="101"/>
      <c r="Q21" s="101"/>
      <c r="R21" s="65" t="s">
        <v>41</v>
      </c>
      <c r="S21" s="66">
        <v>12</v>
      </c>
      <c r="T21" s="102" t="s">
        <v>44</v>
      </c>
      <c r="U21" s="99"/>
      <c r="V21" s="102" t="s">
        <v>44</v>
      </c>
      <c r="W21" s="99"/>
      <c r="X21" s="69"/>
    </row>
    <row r="22" spans="1:24" ht="15" customHeight="1">
      <c r="A22" s="64">
        <v>15</v>
      </c>
      <c r="B22" s="101" t="s">
        <v>35</v>
      </c>
      <c r="C22" s="101"/>
      <c r="D22" s="101"/>
      <c r="E22" s="101"/>
      <c r="F22" s="65" t="s">
        <v>41</v>
      </c>
      <c r="G22" s="66">
        <v>6</v>
      </c>
      <c r="H22" s="102" t="s">
        <v>44</v>
      </c>
      <c r="I22" s="106"/>
      <c r="J22" s="102" t="s">
        <v>44</v>
      </c>
      <c r="K22" s="99"/>
      <c r="L22" s="90"/>
      <c r="M22" s="64">
        <v>15</v>
      </c>
      <c r="N22" s="101" t="s">
        <v>35</v>
      </c>
      <c r="O22" s="101"/>
      <c r="P22" s="101"/>
      <c r="Q22" s="101"/>
      <c r="R22" s="65" t="s">
        <v>41</v>
      </c>
      <c r="S22" s="66">
        <v>6</v>
      </c>
      <c r="T22" s="102" t="s">
        <v>44</v>
      </c>
      <c r="U22" s="99"/>
      <c r="V22" s="102" t="s">
        <v>44</v>
      </c>
      <c r="W22" s="99"/>
      <c r="X22" s="69"/>
    </row>
    <row r="23" spans="1:24" ht="15" customHeight="1">
      <c r="A23" s="64">
        <v>16</v>
      </c>
      <c r="B23" s="101" t="s">
        <v>36</v>
      </c>
      <c r="C23" s="101"/>
      <c r="D23" s="101"/>
      <c r="E23" s="101"/>
      <c r="F23" s="65" t="s">
        <v>41</v>
      </c>
      <c r="G23" s="66">
        <v>6</v>
      </c>
      <c r="H23" s="102" t="s">
        <v>44</v>
      </c>
      <c r="I23" s="106"/>
      <c r="J23" s="102" t="s">
        <v>44</v>
      </c>
      <c r="K23" s="99"/>
      <c r="L23" s="90"/>
      <c r="M23" s="64">
        <v>16</v>
      </c>
      <c r="N23" s="101" t="s">
        <v>36</v>
      </c>
      <c r="O23" s="101"/>
      <c r="P23" s="101"/>
      <c r="Q23" s="101"/>
      <c r="R23" s="65" t="s">
        <v>41</v>
      </c>
      <c r="S23" s="66">
        <v>6</v>
      </c>
      <c r="T23" s="102" t="s">
        <v>44</v>
      </c>
      <c r="U23" s="99"/>
      <c r="V23" s="102" t="s">
        <v>44</v>
      </c>
      <c r="W23" s="99"/>
      <c r="X23" s="69"/>
    </row>
    <row r="24" spans="1:24" ht="15" customHeight="1">
      <c r="A24" s="64">
        <v>17</v>
      </c>
      <c r="B24" s="101" t="s">
        <v>37</v>
      </c>
      <c r="C24" s="101"/>
      <c r="D24" s="101"/>
      <c r="E24" s="101"/>
      <c r="F24" s="65" t="s">
        <v>41</v>
      </c>
      <c r="G24" s="66">
        <v>6</v>
      </c>
      <c r="H24" s="102" t="s">
        <v>44</v>
      </c>
      <c r="I24" s="106"/>
      <c r="J24" s="102" t="s">
        <v>44</v>
      </c>
      <c r="K24" s="99"/>
      <c r="L24" s="90"/>
      <c r="M24" s="64">
        <v>17</v>
      </c>
      <c r="N24" s="101" t="s">
        <v>37</v>
      </c>
      <c r="O24" s="101"/>
      <c r="P24" s="101"/>
      <c r="Q24" s="101"/>
      <c r="R24" s="65" t="s">
        <v>41</v>
      </c>
      <c r="S24" s="66">
        <v>6</v>
      </c>
      <c r="T24" s="102" t="s">
        <v>44</v>
      </c>
      <c r="U24" s="99"/>
      <c r="V24" s="102" t="s">
        <v>44</v>
      </c>
      <c r="W24" s="99"/>
      <c r="X24" s="69"/>
    </row>
    <row r="25" spans="1:24" ht="15" customHeight="1">
      <c r="A25" s="64">
        <v>18</v>
      </c>
      <c r="B25" s="101" t="s">
        <v>38</v>
      </c>
      <c r="C25" s="101"/>
      <c r="D25" s="101"/>
      <c r="E25" s="101"/>
      <c r="F25" s="65" t="s">
        <v>41</v>
      </c>
      <c r="G25" s="66">
        <v>45</v>
      </c>
      <c r="H25" s="102" t="s">
        <v>44</v>
      </c>
      <c r="I25" s="106"/>
      <c r="J25" s="102" t="s">
        <v>44</v>
      </c>
      <c r="K25" s="99"/>
      <c r="L25" s="90"/>
      <c r="M25" s="64">
        <v>18</v>
      </c>
      <c r="N25" s="101" t="s">
        <v>38</v>
      </c>
      <c r="O25" s="101"/>
      <c r="P25" s="101"/>
      <c r="Q25" s="101"/>
      <c r="R25" s="65" t="s">
        <v>41</v>
      </c>
      <c r="S25" s="66">
        <v>45</v>
      </c>
      <c r="T25" s="102" t="s">
        <v>44</v>
      </c>
      <c r="U25" s="99"/>
      <c r="V25" s="102" t="s">
        <v>44</v>
      </c>
      <c r="W25" s="99"/>
      <c r="X25" s="69"/>
    </row>
    <row r="26" spans="1:24" ht="15" customHeight="1">
      <c r="A26" s="64">
        <v>19</v>
      </c>
      <c r="B26" s="101" t="s">
        <v>166</v>
      </c>
      <c r="C26" s="101"/>
      <c r="D26" s="101"/>
      <c r="E26" s="101"/>
      <c r="F26" s="65" t="s">
        <v>41</v>
      </c>
      <c r="G26" s="66">
        <v>6</v>
      </c>
      <c r="H26" s="102" t="s">
        <v>44</v>
      </c>
      <c r="I26" s="106"/>
      <c r="J26" s="102" t="s">
        <v>44</v>
      </c>
      <c r="K26" s="99"/>
      <c r="L26" s="90"/>
      <c r="M26" s="64">
        <v>19</v>
      </c>
      <c r="N26" s="101" t="s">
        <v>161</v>
      </c>
      <c r="O26" s="101"/>
      <c r="P26" s="101"/>
      <c r="Q26" s="101"/>
      <c r="R26" s="65" t="s">
        <v>41</v>
      </c>
      <c r="S26" s="66">
        <v>6</v>
      </c>
      <c r="T26" s="102" t="s">
        <v>44</v>
      </c>
      <c r="U26" s="99"/>
      <c r="V26" s="102" t="s">
        <v>44</v>
      </c>
      <c r="W26" s="99"/>
      <c r="X26" s="69"/>
    </row>
    <row r="27" spans="1:24" ht="15" customHeight="1">
      <c r="A27" s="64">
        <v>20</v>
      </c>
      <c r="B27" s="101" t="s">
        <v>221</v>
      </c>
      <c r="C27" s="101"/>
      <c r="D27" s="101"/>
      <c r="E27" s="101"/>
      <c r="F27" s="65" t="s">
        <v>41</v>
      </c>
      <c r="G27" s="66">
        <v>100</v>
      </c>
      <c r="H27" s="102" t="s">
        <v>44</v>
      </c>
      <c r="I27" s="106"/>
      <c r="J27" s="102" t="s">
        <v>44</v>
      </c>
      <c r="K27" s="99"/>
      <c r="L27" s="90"/>
      <c r="M27" s="64">
        <v>20</v>
      </c>
      <c r="N27" s="101" t="s">
        <v>221</v>
      </c>
      <c r="O27" s="101"/>
      <c r="P27" s="101"/>
      <c r="Q27" s="101"/>
      <c r="R27" s="65" t="s">
        <v>41</v>
      </c>
      <c r="S27" s="66">
        <v>100</v>
      </c>
      <c r="T27" s="102" t="s">
        <v>44</v>
      </c>
      <c r="U27" s="99"/>
      <c r="V27" s="102" t="s">
        <v>44</v>
      </c>
      <c r="W27" s="99"/>
      <c r="X27" s="69"/>
    </row>
    <row r="28" spans="1:24" ht="15" customHeight="1">
      <c r="A28" s="64">
        <v>21</v>
      </c>
      <c r="B28" s="101" t="s">
        <v>39</v>
      </c>
      <c r="C28" s="101"/>
      <c r="D28" s="101"/>
      <c r="E28" s="101"/>
      <c r="F28" s="65" t="s">
        <v>41</v>
      </c>
      <c r="G28" s="66">
        <v>6</v>
      </c>
      <c r="H28" s="102" t="s">
        <v>44</v>
      </c>
      <c r="I28" s="106"/>
      <c r="J28" s="102" t="s">
        <v>44</v>
      </c>
      <c r="K28" s="99"/>
      <c r="L28" s="90"/>
      <c r="M28" s="64">
        <v>21</v>
      </c>
      <c r="N28" s="101" t="s">
        <v>39</v>
      </c>
      <c r="O28" s="101"/>
      <c r="P28" s="101"/>
      <c r="Q28" s="101"/>
      <c r="R28" s="65" t="s">
        <v>41</v>
      </c>
      <c r="S28" s="66">
        <v>6</v>
      </c>
      <c r="T28" s="102" t="s">
        <v>44</v>
      </c>
      <c r="U28" s="99"/>
      <c r="V28" s="102" t="s">
        <v>44</v>
      </c>
      <c r="W28" s="99"/>
      <c r="X28" s="69"/>
    </row>
    <row r="29" spans="1:24" ht="15" customHeight="1">
      <c r="A29" s="64">
        <v>22</v>
      </c>
      <c r="B29" s="101" t="s">
        <v>40</v>
      </c>
      <c r="C29" s="101"/>
      <c r="D29" s="101"/>
      <c r="E29" s="101"/>
      <c r="F29" s="65" t="s">
        <v>41</v>
      </c>
      <c r="G29" s="66">
        <v>6</v>
      </c>
      <c r="H29" s="102" t="s">
        <v>44</v>
      </c>
      <c r="I29" s="106"/>
      <c r="J29" s="102" t="s">
        <v>44</v>
      </c>
      <c r="K29" s="99"/>
      <c r="L29" s="90"/>
      <c r="M29" s="64">
        <v>22</v>
      </c>
      <c r="N29" s="101" t="s">
        <v>40</v>
      </c>
      <c r="O29" s="101"/>
      <c r="P29" s="101"/>
      <c r="Q29" s="101"/>
      <c r="R29" s="65" t="s">
        <v>41</v>
      </c>
      <c r="S29" s="66">
        <v>6</v>
      </c>
      <c r="T29" s="102" t="s">
        <v>44</v>
      </c>
      <c r="U29" s="99"/>
      <c r="V29" s="102" t="s">
        <v>44</v>
      </c>
      <c r="W29" s="99"/>
      <c r="X29" s="69"/>
    </row>
    <row r="30" spans="1:24" ht="14.5" customHeight="1">
      <c r="A30" s="64">
        <v>23</v>
      </c>
      <c r="B30" s="101" t="s">
        <v>168</v>
      </c>
      <c r="C30" s="101"/>
      <c r="D30" s="101"/>
      <c r="E30" s="101"/>
      <c r="F30" s="65" t="s">
        <v>41</v>
      </c>
      <c r="G30" s="66">
        <v>40</v>
      </c>
      <c r="H30" s="102" t="s">
        <v>44</v>
      </c>
      <c r="I30" s="106"/>
      <c r="J30" s="102" t="s">
        <v>44</v>
      </c>
      <c r="K30" s="99"/>
      <c r="L30" s="90"/>
      <c r="M30" s="64">
        <v>23</v>
      </c>
      <c r="N30" s="101" t="s">
        <v>168</v>
      </c>
      <c r="O30" s="101"/>
      <c r="P30" s="101"/>
      <c r="Q30" s="101"/>
      <c r="R30" s="65" t="s">
        <v>41</v>
      </c>
      <c r="S30" s="66">
        <v>40</v>
      </c>
      <c r="T30" s="102" t="s">
        <v>44</v>
      </c>
      <c r="U30" s="99"/>
      <c r="V30" s="102" t="s">
        <v>44</v>
      </c>
      <c r="W30" s="99"/>
      <c r="X30" s="69"/>
    </row>
    <row r="31" spans="1:24" ht="14.5" customHeight="1">
      <c r="A31" s="64">
        <v>24</v>
      </c>
      <c r="B31" s="101" t="s">
        <v>169</v>
      </c>
      <c r="C31" s="101"/>
      <c r="D31" s="101"/>
      <c r="E31" s="101"/>
      <c r="F31" s="65" t="s">
        <v>41</v>
      </c>
      <c r="G31" s="66">
        <v>8</v>
      </c>
      <c r="H31" s="102" t="s">
        <v>44</v>
      </c>
      <c r="I31" s="106"/>
      <c r="J31" s="102" t="s">
        <v>44</v>
      </c>
      <c r="K31" s="99"/>
      <c r="L31" s="90"/>
      <c r="M31" s="64">
        <v>24</v>
      </c>
      <c r="N31" s="101" t="s">
        <v>169</v>
      </c>
      <c r="O31" s="101"/>
      <c r="P31" s="101"/>
      <c r="Q31" s="101"/>
      <c r="R31" s="65" t="s">
        <v>41</v>
      </c>
      <c r="S31" s="66">
        <v>8</v>
      </c>
      <c r="T31" s="102" t="s">
        <v>44</v>
      </c>
      <c r="U31" s="99"/>
      <c r="V31" s="102" t="s">
        <v>44</v>
      </c>
      <c r="W31" s="99"/>
      <c r="X31" s="69"/>
    </row>
    <row r="32" spans="1:24" ht="15.5" customHeight="1">
      <c r="A32" s="64">
        <v>25</v>
      </c>
      <c r="B32" s="101" t="s">
        <v>167</v>
      </c>
      <c r="C32" s="101"/>
      <c r="D32" s="101"/>
      <c r="E32" s="101"/>
      <c r="F32" s="65" t="s">
        <v>41</v>
      </c>
      <c r="G32" s="66">
        <v>20</v>
      </c>
      <c r="H32" s="102" t="s">
        <v>44</v>
      </c>
      <c r="I32" s="106"/>
      <c r="J32" s="95" t="s">
        <v>44</v>
      </c>
      <c r="K32" s="97"/>
      <c r="L32" s="90"/>
      <c r="M32" s="64">
        <v>25</v>
      </c>
      <c r="N32" s="101" t="s">
        <v>167</v>
      </c>
      <c r="O32" s="101"/>
      <c r="P32" s="101"/>
      <c r="Q32" s="101"/>
      <c r="R32" s="65" t="s">
        <v>41</v>
      </c>
      <c r="S32" s="66">
        <v>20</v>
      </c>
      <c r="T32" s="102" t="s">
        <v>44</v>
      </c>
      <c r="U32" s="99"/>
      <c r="V32" s="102" t="s">
        <v>44</v>
      </c>
      <c r="W32" s="99"/>
      <c r="X32" s="69"/>
    </row>
    <row r="33" spans="1:24" ht="15.5" customHeight="1">
      <c r="A33" s="64">
        <v>26</v>
      </c>
      <c r="B33" s="95" t="s">
        <v>170</v>
      </c>
      <c r="C33" s="96"/>
      <c r="D33" s="96"/>
      <c r="E33" s="97"/>
      <c r="F33" s="65" t="s">
        <v>41</v>
      </c>
      <c r="G33" s="66">
        <v>24</v>
      </c>
      <c r="H33" s="102" t="s">
        <v>44</v>
      </c>
      <c r="I33" s="106"/>
      <c r="J33" s="95" t="s">
        <v>44</v>
      </c>
      <c r="K33" s="97"/>
      <c r="L33" s="90"/>
      <c r="M33" s="64">
        <v>26</v>
      </c>
      <c r="N33" s="95" t="s">
        <v>170</v>
      </c>
      <c r="O33" s="96"/>
      <c r="P33" s="96"/>
      <c r="Q33" s="97"/>
      <c r="R33" s="65" t="s">
        <v>41</v>
      </c>
      <c r="S33" s="66">
        <v>24</v>
      </c>
      <c r="T33" s="102" t="s">
        <v>44</v>
      </c>
      <c r="U33" s="99"/>
      <c r="V33" s="102" t="s">
        <v>44</v>
      </c>
      <c r="W33" s="99"/>
      <c r="X33" s="67"/>
    </row>
    <row r="34" spans="1:24" ht="15" customHeight="1">
      <c r="A34" s="64">
        <v>27</v>
      </c>
      <c r="B34" s="101" t="s">
        <v>45</v>
      </c>
      <c r="C34" s="101"/>
      <c r="D34" s="101"/>
      <c r="E34" s="101"/>
      <c r="F34" s="65" t="s">
        <v>41</v>
      </c>
      <c r="G34" s="66">
        <v>50</v>
      </c>
      <c r="H34" s="102" t="s">
        <v>44</v>
      </c>
      <c r="I34" s="106"/>
      <c r="J34" s="102" t="s">
        <v>44</v>
      </c>
      <c r="K34" s="99"/>
      <c r="L34" s="90"/>
      <c r="M34" s="64">
        <v>27</v>
      </c>
      <c r="N34" s="101" t="s">
        <v>45</v>
      </c>
      <c r="O34" s="101"/>
      <c r="P34" s="101"/>
      <c r="Q34" s="101"/>
      <c r="R34" s="65" t="s">
        <v>41</v>
      </c>
      <c r="S34" s="66">
        <v>45</v>
      </c>
      <c r="T34" s="102" t="s">
        <v>44</v>
      </c>
      <c r="U34" s="99"/>
      <c r="V34" s="102" t="s">
        <v>44</v>
      </c>
      <c r="W34" s="99"/>
      <c r="X34" s="69"/>
    </row>
    <row r="35" spans="1:24" ht="15" customHeight="1">
      <c r="A35" s="64">
        <v>28</v>
      </c>
      <c r="B35" s="101" t="s">
        <v>222</v>
      </c>
      <c r="C35" s="101"/>
      <c r="D35" s="101"/>
      <c r="E35" s="101"/>
      <c r="F35" s="65" t="s">
        <v>41</v>
      </c>
      <c r="G35" s="66">
        <v>40</v>
      </c>
      <c r="H35" s="102" t="s">
        <v>44</v>
      </c>
      <c r="I35" s="106"/>
      <c r="J35" s="102" t="s">
        <v>44</v>
      </c>
      <c r="K35" s="99"/>
      <c r="L35" s="90"/>
      <c r="M35" s="64">
        <v>28</v>
      </c>
      <c r="N35" s="101" t="s">
        <v>223</v>
      </c>
      <c r="O35" s="101"/>
      <c r="P35" s="101"/>
      <c r="Q35" s="101"/>
      <c r="R35" s="65" t="s">
        <v>41</v>
      </c>
      <c r="S35" s="66">
        <v>35</v>
      </c>
      <c r="T35" s="102" t="s">
        <v>44</v>
      </c>
      <c r="U35" s="99"/>
      <c r="V35" s="102" t="s">
        <v>44</v>
      </c>
      <c r="W35" s="99"/>
      <c r="X35" s="69"/>
    </row>
    <row r="36" spans="1:24">
      <c r="A36" s="144" t="s">
        <v>16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147" t="s">
        <v>16</v>
      </c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48"/>
    </row>
    <row r="37" spans="1:24">
      <c r="A37" s="147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48"/>
      <c r="M37" s="147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48"/>
    </row>
    <row r="38" spans="1:24">
      <c r="A38" s="147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48"/>
      <c r="M38" s="147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48"/>
    </row>
    <row r="39" spans="1:24">
      <c r="A39" s="147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48"/>
      <c r="M39" s="147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48"/>
    </row>
    <row r="40" spans="1:24">
      <c r="A40" s="147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48"/>
      <c r="M40" s="147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48"/>
    </row>
    <row r="41" spans="1:24">
      <c r="A41" s="147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48"/>
      <c r="M41" s="147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48"/>
    </row>
    <row r="42" spans="1:24" ht="39.5" customHeight="1" thickBot="1">
      <c r="A42" s="149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1"/>
      <c r="M42" s="149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1"/>
    </row>
    <row r="43" spans="1:24" ht="15" thickTop="1">
      <c r="A43" s="140" t="s">
        <v>42</v>
      </c>
      <c r="B43" s="141"/>
      <c r="C43" s="142" t="s">
        <v>254</v>
      </c>
      <c r="D43" s="143"/>
      <c r="E43" s="143"/>
      <c r="F43" s="143"/>
      <c r="G43" s="118" t="s">
        <v>1</v>
      </c>
      <c r="H43" s="119"/>
      <c r="I43" s="118" t="s">
        <v>238</v>
      </c>
      <c r="J43" s="120"/>
      <c r="K43" s="120"/>
      <c r="L43" s="121"/>
      <c r="M43" s="140" t="s">
        <v>42</v>
      </c>
      <c r="N43" s="141"/>
      <c r="O43" s="142" t="s">
        <v>254</v>
      </c>
      <c r="P43" s="143"/>
      <c r="Q43" s="143"/>
      <c r="R43" s="143"/>
      <c r="S43" s="118" t="s">
        <v>1</v>
      </c>
      <c r="T43" s="119"/>
      <c r="U43" s="118" t="s">
        <v>238</v>
      </c>
      <c r="V43" s="120"/>
      <c r="W43" s="120"/>
      <c r="X43" s="121"/>
    </row>
    <row r="44" spans="1:24" ht="33" customHeight="1">
      <c r="A44" s="61" t="s">
        <v>2</v>
      </c>
      <c r="B44" s="107" t="s">
        <v>227</v>
      </c>
      <c r="C44" s="125"/>
      <c r="D44" s="126" t="s">
        <v>3</v>
      </c>
      <c r="E44" s="125"/>
      <c r="F44" s="100" t="s">
        <v>155</v>
      </c>
      <c r="G44" s="100"/>
      <c r="H44" s="100"/>
      <c r="I44" s="126" t="s">
        <v>4</v>
      </c>
      <c r="J44" s="125"/>
      <c r="K44" s="100">
        <v>1</v>
      </c>
      <c r="L44" s="127"/>
      <c r="M44" s="61" t="s">
        <v>2</v>
      </c>
      <c r="N44" s="107" t="s">
        <v>228</v>
      </c>
      <c r="O44" s="125"/>
      <c r="P44" s="126" t="s">
        <v>3</v>
      </c>
      <c r="Q44" s="125"/>
      <c r="R44" s="100" t="s">
        <v>154</v>
      </c>
      <c r="S44" s="100"/>
      <c r="T44" s="100"/>
      <c r="U44" s="126" t="s">
        <v>4</v>
      </c>
      <c r="V44" s="125"/>
      <c r="W44" s="100">
        <v>1</v>
      </c>
      <c r="X44" s="127"/>
    </row>
    <row r="45" spans="1:24" ht="20" customHeight="1">
      <c r="A45" s="130" t="s">
        <v>5</v>
      </c>
      <c r="B45" s="108"/>
      <c r="C45" s="125"/>
      <c r="D45" s="107" t="s">
        <v>26</v>
      </c>
      <c r="E45" s="108"/>
      <c r="F45" s="108"/>
      <c r="G45" s="108"/>
      <c r="H45" s="108"/>
      <c r="I45" s="108"/>
      <c r="J45" s="108"/>
      <c r="K45" s="108"/>
      <c r="L45" s="109"/>
      <c r="M45" s="130" t="s">
        <v>5</v>
      </c>
      <c r="N45" s="108"/>
      <c r="O45" s="125"/>
      <c r="P45" s="107" t="s">
        <v>26</v>
      </c>
      <c r="Q45" s="108"/>
      <c r="R45" s="108"/>
      <c r="S45" s="108"/>
      <c r="T45" s="108"/>
      <c r="U45" s="108"/>
      <c r="V45" s="108"/>
      <c r="W45" s="108"/>
      <c r="X45" s="109"/>
    </row>
    <row r="46" spans="1:24" ht="110.5" customHeight="1">
      <c r="A46" s="110" t="s">
        <v>6</v>
      </c>
      <c r="B46" s="111"/>
      <c r="C46" s="112"/>
      <c r="D46" s="122" t="s">
        <v>259</v>
      </c>
      <c r="E46" s="123"/>
      <c r="F46" s="123"/>
      <c r="G46" s="123"/>
      <c r="H46" s="123"/>
      <c r="I46" s="123"/>
      <c r="J46" s="123"/>
      <c r="K46" s="123"/>
      <c r="L46" s="124"/>
      <c r="M46" s="110" t="s">
        <v>6</v>
      </c>
      <c r="N46" s="111"/>
      <c r="O46" s="112"/>
      <c r="P46" s="122" t="s">
        <v>259</v>
      </c>
      <c r="Q46" s="123"/>
      <c r="R46" s="123"/>
      <c r="S46" s="123"/>
      <c r="T46" s="123"/>
      <c r="U46" s="123"/>
      <c r="V46" s="123"/>
      <c r="W46" s="123"/>
      <c r="X46" s="124"/>
    </row>
    <row r="47" spans="1:24" ht="95.5" customHeight="1">
      <c r="A47" s="113"/>
      <c r="B47" s="114"/>
      <c r="C47" s="115"/>
      <c r="D47" s="95" t="s">
        <v>260</v>
      </c>
      <c r="E47" s="128"/>
      <c r="F47" s="128"/>
      <c r="G47" s="128"/>
      <c r="H47" s="128"/>
      <c r="I47" s="128"/>
      <c r="J47" s="128"/>
      <c r="K47" s="128"/>
      <c r="L47" s="129"/>
      <c r="M47" s="113"/>
      <c r="N47" s="114"/>
      <c r="O47" s="115"/>
      <c r="P47" s="95" t="s">
        <v>260</v>
      </c>
      <c r="Q47" s="128"/>
      <c r="R47" s="128"/>
      <c r="S47" s="128"/>
      <c r="T47" s="128"/>
      <c r="U47" s="128"/>
      <c r="V47" s="128"/>
      <c r="W47" s="128"/>
      <c r="X47" s="129"/>
    </row>
    <row r="48" spans="1:24" ht="15">
      <c r="A48" s="116" t="s">
        <v>7</v>
      </c>
      <c r="B48" s="117" t="s">
        <v>8</v>
      </c>
      <c r="C48" s="117"/>
      <c r="D48" s="117"/>
      <c r="E48" s="117"/>
      <c r="F48" s="117" t="s">
        <v>43</v>
      </c>
      <c r="G48" s="117" t="s">
        <v>10</v>
      </c>
      <c r="H48" s="117"/>
      <c r="I48" s="117"/>
      <c r="J48" s="117"/>
      <c r="K48" s="117"/>
      <c r="L48" s="62" t="s">
        <v>11</v>
      </c>
      <c r="M48" s="116" t="s">
        <v>7</v>
      </c>
      <c r="N48" s="117" t="s">
        <v>8</v>
      </c>
      <c r="O48" s="117"/>
      <c r="P48" s="117"/>
      <c r="Q48" s="117"/>
      <c r="R48" s="117" t="s">
        <v>43</v>
      </c>
      <c r="S48" s="117" t="s">
        <v>10</v>
      </c>
      <c r="T48" s="117"/>
      <c r="U48" s="117"/>
      <c r="V48" s="117"/>
      <c r="W48" s="117"/>
      <c r="X48" s="62" t="s">
        <v>11</v>
      </c>
    </row>
    <row r="49" spans="1:24" ht="15">
      <c r="A49" s="116"/>
      <c r="B49" s="117"/>
      <c r="C49" s="117"/>
      <c r="D49" s="117"/>
      <c r="E49" s="117"/>
      <c r="F49" s="117"/>
      <c r="G49" s="68" t="s">
        <v>12</v>
      </c>
      <c r="H49" s="105" t="s">
        <v>13</v>
      </c>
      <c r="I49" s="105"/>
      <c r="J49" s="105" t="s">
        <v>17</v>
      </c>
      <c r="K49" s="105"/>
      <c r="L49" s="69"/>
      <c r="M49" s="116"/>
      <c r="N49" s="117"/>
      <c r="O49" s="117"/>
      <c r="P49" s="117"/>
      <c r="Q49" s="117"/>
      <c r="R49" s="117"/>
      <c r="S49" s="68" t="s">
        <v>12</v>
      </c>
      <c r="T49" s="105" t="s">
        <v>13</v>
      </c>
      <c r="U49" s="105"/>
      <c r="V49" s="105" t="s">
        <v>17</v>
      </c>
      <c r="W49" s="105"/>
      <c r="X49" s="69"/>
    </row>
    <row r="50" spans="1:24" ht="15" customHeight="1">
      <c r="A50" s="64">
        <v>1</v>
      </c>
      <c r="B50" s="101" t="s">
        <v>27</v>
      </c>
      <c r="C50" s="101"/>
      <c r="D50" s="101"/>
      <c r="E50" s="101"/>
      <c r="F50" s="65" t="s">
        <v>14</v>
      </c>
      <c r="G50" s="66">
        <f>H50+J50</f>
        <v>35</v>
      </c>
      <c r="H50" s="98">
        <v>35</v>
      </c>
      <c r="I50" s="99"/>
      <c r="J50" s="100">
        <v>0</v>
      </c>
      <c r="K50" s="100"/>
      <c r="L50" s="67"/>
      <c r="M50" s="64">
        <v>1</v>
      </c>
      <c r="N50" s="101" t="s">
        <v>27</v>
      </c>
      <c r="O50" s="101"/>
      <c r="P50" s="101"/>
      <c r="Q50" s="101"/>
      <c r="R50" s="65" t="s">
        <v>14</v>
      </c>
      <c r="S50" s="66">
        <f>T50+V50</f>
        <v>35</v>
      </c>
      <c r="T50" s="98">
        <v>35</v>
      </c>
      <c r="U50" s="99"/>
      <c r="V50" s="100">
        <v>0</v>
      </c>
      <c r="W50" s="100"/>
      <c r="X50" s="69"/>
    </row>
    <row r="51" spans="1:24" ht="15" customHeight="1">
      <c r="A51" s="64">
        <v>2</v>
      </c>
      <c r="B51" s="101" t="s">
        <v>28</v>
      </c>
      <c r="C51" s="101"/>
      <c r="D51" s="101"/>
      <c r="E51" s="101"/>
      <c r="F51" s="65" t="s">
        <v>14</v>
      </c>
      <c r="G51" s="66">
        <f t="shared" ref="G51:G62" si="2">H51+J51</f>
        <v>15</v>
      </c>
      <c r="H51" s="98">
        <v>15</v>
      </c>
      <c r="I51" s="99"/>
      <c r="J51" s="100">
        <v>0</v>
      </c>
      <c r="K51" s="100"/>
      <c r="L51" s="67"/>
      <c r="M51" s="64">
        <v>2</v>
      </c>
      <c r="N51" s="101" t="s">
        <v>28</v>
      </c>
      <c r="O51" s="101"/>
      <c r="P51" s="101"/>
      <c r="Q51" s="101"/>
      <c r="R51" s="65" t="s">
        <v>14</v>
      </c>
      <c r="S51" s="66">
        <f t="shared" ref="S51:S62" si="3">T51+V51</f>
        <v>17</v>
      </c>
      <c r="T51" s="98">
        <v>17</v>
      </c>
      <c r="U51" s="99"/>
      <c r="V51" s="100">
        <v>0</v>
      </c>
      <c r="W51" s="100"/>
      <c r="X51" s="69"/>
    </row>
    <row r="52" spans="1:24" ht="15" customHeight="1">
      <c r="A52" s="64">
        <v>3</v>
      </c>
      <c r="B52" s="101" t="s">
        <v>29</v>
      </c>
      <c r="C52" s="101"/>
      <c r="D52" s="101"/>
      <c r="E52" s="101"/>
      <c r="F52" s="65" t="s">
        <v>14</v>
      </c>
      <c r="G52" s="66">
        <f t="shared" si="2"/>
        <v>14</v>
      </c>
      <c r="H52" s="100">
        <v>14</v>
      </c>
      <c r="I52" s="100"/>
      <c r="J52" s="100">
        <v>0</v>
      </c>
      <c r="K52" s="100"/>
      <c r="L52" s="67"/>
      <c r="M52" s="64">
        <v>3</v>
      </c>
      <c r="N52" s="101" t="s">
        <v>29</v>
      </c>
      <c r="O52" s="101"/>
      <c r="P52" s="101"/>
      <c r="Q52" s="101"/>
      <c r="R52" s="65" t="s">
        <v>14</v>
      </c>
      <c r="S52" s="66">
        <f t="shared" si="3"/>
        <v>13</v>
      </c>
      <c r="T52" s="100">
        <v>13</v>
      </c>
      <c r="U52" s="100"/>
      <c r="V52" s="100">
        <v>0</v>
      </c>
      <c r="W52" s="100"/>
      <c r="X52" s="69"/>
    </row>
    <row r="53" spans="1:24" ht="15" customHeight="1">
      <c r="A53" s="64">
        <v>4</v>
      </c>
      <c r="B53" s="95" t="s">
        <v>30</v>
      </c>
      <c r="C53" s="96"/>
      <c r="D53" s="96"/>
      <c r="E53" s="97"/>
      <c r="F53" s="65" t="s">
        <v>14</v>
      </c>
      <c r="G53" s="66">
        <f t="shared" si="2"/>
        <v>11</v>
      </c>
      <c r="H53" s="98">
        <v>11</v>
      </c>
      <c r="I53" s="99"/>
      <c r="J53" s="100">
        <v>0</v>
      </c>
      <c r="K53" s="100"/>
      <c r="L53" s="67"/>
      <c r="M53" s="64">
        <v>4</v>
      </c>
      <c r="N53" s="95" t="s">
        <v>30</v>
      </c>
      <c r="O53" s="96"/>
      <c r="P53" s="96"/>
      <c r="Q53" s="97"/>
      <c r="R53" s="65" t="s">
        <v>14</v>
      </c>
      <c r="S53" s="66">
        <f t="shared" si="3"/>
        <v>11</v>
      </c>
      <c r="T53" s="98">
        <v>11</v>
      </c>
      <c r="U53" s="99"/>
      <c r="V53" s="100">
        <v>0</v>
      </c>
      <c r="W53" s="100"/>
      <c r="X53" s="69"/>
    </row>
    <row r="54" spans="1:24" ht="15" customHeight="1">
      <c r="A54" s="64">
        <v>5</v>
      </c>
      <c r="B54" s="95" t="s">
        <v>31</v>
      </c>
      <c r="C54" s="96"/>
      <c r="D54" s="96"/>
      <c r="E54" s="97"/>
      <c r="F54" s="65" t="s">
        <v>14</v>
      </c>
      <c r="G54" s="66">
        <v>60</v>
      </c>
      <c r="H54" s="98">
        <v>60</v>
      </c>
      <c r="I54" s="99"/>
      <c r="J54" s="100">
        <v>0</v>
      </c>
      <c r="K54" s="100"/>
      <c r="L54" s="67"/>
      <c r="M54" s="64">
        <v>5</v>
      </c>
      <c r="N54" s="95" t="s">
        <v>31</v>
      </c>
      <c r="O54" s="96"/>
      <c r="P54" s="96"/>
      <c r="Q54" s="97"/>
      <c r="R54" s="65" t="s">
        <v>14</v>
      </c>
      <c r="S54" s="66">
        <f t="shared" si="3"/>
        <v>55</v>
      </c>
      <c r="T54" s="98">
        <v>55</v>
      </c>
      <c r="U54" s="99"/>
      <c r="V54" s="100">
        <v>0</v>
      </c>
      <c r="W54" s="100"/>
      <c r="X54" s="69"/>
    </row>
    <row r="55" spans="1:24" ht="15.5" customHeight="1">
      <c r="A55" s="64">
        <v>6</v>
      </c>
      <c r="B55" s="95" t="s">
        <v>161</v>
      </c>
      <c r="C55" s="96"/>
      <c r="D55" s="96"/>
      <c r="E55" s="97"/>
      <c r="F55" s="65" t="s">
        <v>62</v>
      </c>
      <c r="G55" s="66">
        <v>20</v>
      </c>
      <c r="H55" s="103">
        <v>20</v>
      </c>
      <c r="I55" s="104"/>
      <c r="J55" s="103">
        <v>0</v>
      </c>
      <c r="K55" s="104"/>
      <c r="L55" s="67"/>
      <c r="M55" s="64">
        <v>6</v>
      </c>
      <c r="N55" s="95" t="s">
        <v>161</v>
      </c>
      <c r="O55" s="96"/>
      <c r="P55" s="96"/>
      <c r="Q55" s="97"/>
      <c r="R55" s="65" t="s">
        <v>62</v>
      </c>
      <c r="S55" s="66">
        <f t="shared" si="3"/>
        <v>15</v>
      </c>
      <c r="T55" s="103">
        <v>15</v>
      </c>
      <c r="U55" s="104"/>
      <c r="V55" s="103">
        <v>0</v>
      </c>
      <c r="W55" s="104"/>
      <c r="X55" s="69"/>
    </row>
    <row r="56" spans="1:24" ht="15" customHeight="1">
      <c r="A56" s="64">
        <v>7</v>
      </c>
      <c r="B56" s="95" t="s">
        <v>220</v>
      </c>
      <c r="C56" s="96"/>
      <c r="D56" s="96"/>
      <c r="E56" s="97"/>
      <c r="F56" s="65" t="s">
        <v>14</v>
      </c>
      <c r="G56" s="66">
        <f t="shared" si="2"/>
        <v>80</v>
      </c>
      <c r="H56" s="98">
        <v>80</v>
      </c>
      <c r="I56" s="99"/>
      <c r="J56" s="100">
        <v>0</v>
      </c>
      <c r="K56" s="100"/>
      <c r="L56" s="67"/>
      <c r="M56" s="64">
        <v>7</v>
      </c>
      <c r="N56" s="95" t="s">
        <v>220</v>
      </c>
      <c r="O56" s="96"/>
      <c r="P56" s="96"/>
      <c r="Q56" s="97"/>
      <c r="R56" s="65" t="s">
        <v>14</v>
      </c>
      <c r="S56" s="66">
        <f t="shared" si="3"/>
        <v>90</v>
      </c>
      <c r="T56" s="98">
        <v>90</v>
      </c>
      <c r="U56" s="99"/>
      <c r="V56" s="100">
        <v>0</v>
      </c>
      <c r="W56" s="100"/>
      <c r="X56" s="69"/>
    </row>
    <row r="57" spans="1:24" ht="15" customHeight="1">
      <c r="A57" s="64">
        <v>8</v>
      </c>
      <c r="B57" s="95" t="s">
        <v>32</v>
      </c>
      <c r="C57" s="96"/>
      <c r="D57" s="96"/>
      <c r="E57" s="97"/>
      <c r="F57" s="65" t="s">
        <v>14</v>
      </c>
      <c r="G57" s="66">
        <f t="shared" si="2"/>
        <v>0</v>
      </c>
      <c r="H57" s="98"/>
      <c r="I57" s="99"/>
      <c r="J57" s="100">
        <v>0</v>
      </c>
      <c r="K57" s="100"/>
      <c r="L57" s="67"/>
      <c r="M57" s="64">
        <v>8</v>
      </c>
      <c r="N57" s="95" t="s">
        <v>32</v>
      </c>
      <c r="O57" s="96"/>
      <c r="P57" s="96"/>
      <c r="Q57" s="97"/>
      <c r="R57" s="65" t="s">
        <v>14</v>
      </c>
      <c r="S57" s="66">
        <f t="shared" si="3"/>
        <v>0</v>
      </c>
      <c r="T57" s="98"/>
      <c r="U57" s="99"/>
      <c r="V57" s="100">
        <v>0</v>
      </c>
      <c r="W57" s="100"/>
      <c r="X57" s="69"/>
    </row>
    <row r="58" spans="1:24" ht="15" customHeight="1">
      <c r="A58" s="64">
        <v>9</v>
      </c>
      <c r="B58" s="95" t="s">
        <v>33</v>
      </c>
      <c r="C58" s="96"/>
      <c r="D58" s="96"/>
      <c r="E58" s="97"/>
      <c r="F58" s="65" t="s">
        <v>14</v>
      </c>
      <c r="G58" s="66">
        <f t="shared" si="2"/>
        <v>0</v>
      </c>
      <c r="H58" s="98"/>
      <c r="I58" s="99"/>
      <c r="J58" s="100">
        <v>0</v>
      </c>
      <c r="K58" s="100"/>
      <c r="L58" s="67"/>
      <c r="M58" s="64">
        <v>9</v>
      </c>
      <c r="N58" s="95" t="s">
        <v>33</v>
      </c>
      <c r="O58" s="96"/>
      <c r="P58" s="96"/>
      <c r="Q58" s="97"/>
      <c r="R58" s="65" t="s">
        <v>14</v>
      </c>
      <c r="S58" s="66">
        <f t="shared" si="3"/>
        <v>0</v>
      </c>
      <c r="T58" s="98"/>
      <c r="U58" s="99"/>
      <c r="V58" s="100">
        <v>0</v>
      </c>
      <c r="W58" s="100"/>
      <c r="X58" s="69"/>
    </row>
    <row r="59" spans="1:24" ht="15" customHeight="1">
      <c r="A59" s="64">
        <v>10</v>
      </c>
      <c r="B59" s="95" t="s">
        <v>163</v>
      </c>
      <c r="C59" s="96"/>
      <c r="D59" s="96"/>
      <c r="E59" s="97"/>
      <c r="F59" s="65" t="s">
        <v>14</v>
      </c>
      <c r="G59" s="66">
        <v>45</v>
      </c>
      <c r="H59" s="98">
        <v>45</v>
      </c>
      <c r="I59" s="99"/>
      <c r="J59" s="100">
        <v>0</v>
      </c>
      <c r="K59" s="100"/>
      <c r="L59" s="67"/>
      <c r="M59" s="64">
        <v>10</v>
      </c>
      <c r="N59" s="95" t="s">
        <v>163</v>
      </c>
      <c r="O59" s="96"/>
      <c r="P59" s="96"/>
      <c r="Q59" s="97"/>
      <c r="R59" s="65" t="s">
        <v>14</v>
      </c>
      <c r="S59" s="66">
        <v>45</v>
      </c>
      <c r="T59" s="98">
        <v>45</v>
      </c>
      <c r="U59" s="99"/>
      <c r="V59" s="100">
        <v>0</v>
      </c>
      <c r="W59" s="100"/>
      <c r="X59" s="69"/>
    </row>
    <row r="60" spans="1:24" ht="15" customHeight="1">
      <c r="A60" s="64">
        <v>11</v>
      </c>
      <c r="B60" s="95" t="s">
        <v>164</v>
      </c>
      <c r="C60" s="96"/>
      <c r="D60" s="96"/>
      <c r="E60" s="97"/>
      <c r="F60" s="65" t="s">
        <v>14</v>
      </c>
      <c r="G60" s="66">
        <v>80</v>
      </c>
      <c r="H60" s="98">
        <v>80</v>
      </c>
      <c r="I60" s="99"/>
      <c r="J60" s="100">
        <v>0</v>
      </c>
      <c r="K60" s="100"/>
      <c r="L60" s="67"/>
      <c r="M60" s="64">
        <v>11</v>
      </c>
      <c r="N60" s="95" t="s">
        <v>164</v>
      </c>
      <c r="O60" s="96"/>
      <c r="P60" s="96"/>
      <c r="Q60" s="97"/>
      <c r="R60" s="65" t="s">
        <v>14</v>
      </c>
      <c r="S60" s="66">
        <v>70</v>
      </c>
      <c r="T60" s="98">
        <v>70</v>
      </c>
      <c r="U60" s="99"/>
      <c r="V60" s="100">
        <v>0</v>
      </c>
      <c r="W60" s="100"/>
      <c r="X60" s="69"/>
    </row>
    <row r="61" spans="1:24">
      <c r="A61" s="64">
        <v>12</v>
      </c>
      <c r="B61" s="101" t="s">
        <v>165</v>
      </c>
      <c r="C61" s="101"/>
      <c r="D61" s="101"/>
      <c r="E61" s="101"/>
      <c r="F61" s="65" t="s">
        <v>14</v>
      </c>
      <c r="G61" s="66">
        <f t="shared" si="2"/>
        <v>30</v>
      </c>
      <c r="H61" s="98">
        <v>30</v>
      </c>
      <c r="I61" s="99"/>
      <c r="J61" s="100">
        <v>0</v>
      </c>
      <c r="K61" s="100"/>
      <c r="L61" s="67"/>
      <c r="M61" s="64">
        <v>12</v>
      </c>
      <c r="N61" s="101" t="s">
        <v>165</v>
      </c>
      <c r="O61" s="101"/>
      <c r="P61" s="101"/>
      <c r="Q61" s="101"/>
      <c r="R61" s="65" t="s">
        <v>14</v>
      </c>
      <c r="S61" s="66">
        <f t="shared" si="3"/>
        <v>30</v>
      </c>
      <c r="T61" s="98">
        <v>30</v>
      </c>
      <c r="U61" s="99"/>
      <c r="V61" s="100">
        <v>0</v>
      </c>
      <c r="W61" s="100"/>
      <c r="X61" s="69"/>
    </row>
    <row r="62" spans="1:24" ht="15" customHeight="1">
      <c r="A62" s="64">
        <v>13</v>
      </c>
      <c r="B62" s="101" t="s">
        <v>171</v>
      </c>
      <c r="C62" s="101"/>
      <c r="D62" s="101"/>
      <c r="E62" s="101"/>
      <c r="F62" s="65" t="s">
        <v>14</v>
      </c>
      <c r="G62" s="66">
        <f t="shared" si="2"/>
        <v>0</v>
      </c>
      <c r="H62" s="98"/>
      <c r="I62" s="99"/>
      <c r="J62" s="100">
        <v>0</v>
      </c>
      <c r="K62" s="100"/>
      <c r="L62" s="67"/>
      <c r="M62" s="64">
        <v>13</v>
      </c>
      <c r="N62" s="101" t="s">
        <v>171</v>
      </c>
      <c r="O62" s="101"/>
      <c r="P62" s="101"/>
      <c r="Q62" s="101"/>
      <c r="R62" s="65" t="s">
        <v>14</v>
      </c>
      <c r="S62" s="66">
        <f t="shared" si="3"/>
        <v>0</v>
      </c>
      <c r="T62" s="98"/>
      <c r="U62" s="99"/>
      <c r="V62" s="100">
        <v>0</v>
      </c>
      <c r="W62" s="100"/>
      <c r="X62" s="69"/>
    </row>
    <row r="63" spans="1:24" ht="15" customHeight="1">
      <c r="A63" s="64">
        <v>14</v>
      </c>
      <c r="B63" s="101" t="s">
        <v>34</v>
      </c>
      <c r="C63" s="101"/>
      <c r="D63" s="101"/>
      <c r="E63" s="101"/>
      <c r="F63" s="65" t="s">
        <v>41</v>
      </c>
      <c r="G63" s="66">
        <v>12</v>
      </c>
      <c r="H63" s="102" t="s">
        <v>44</v>
      </c>
      <c r="I63" s="99"/>
      <c r="J63" s="102" t="s">
        <v>44</v>
      </c>
      <c r="K63" s="99"/>
      <c r="L63" s="67"/>
      <c r="M63" s="64">
        <v>14</v>
      </c>
      <c r="N63" s="101" t="s">
        <v>34</v>
      </c>
      <c r="O63" s="101"/>
      <c r="P63" s="101"/>
      <c r="Q63" s="101"/>
      <c r="R63" s="65" t="s">
        <v>41</v>
      </c>
      <c r="S63" s="66">
        <v>12</v>
      </c>
      <c r="T63" s="102" t="s">
        <v>44</v>
      </c>
      <c r="U63" s="99"/>
      <c r="V63" s="102" t="s">
        <v>44</v>
      </c>
      <c r="W63" s="99"/>
      <c r="X63" s="69"/>
    </row>
    <row r="64" spans="1:24" ht="15" customHeight="1">
      <c r="A64" s="64">
        <v>15</v>
      </c>
      <c r="B64" s="101" t="s">
        <v>35</v>
      </c>
      <c r="C64" s="101"/>
      <c r="D64" s="101"/>
      <c r="E64" s="101"/>
      <c r="F64" s="65" t="s">
        <v>41</v>
      </c>
      <c r="G64" s="66">
        <v>6</v>
      </c>
      <c r="H64" s="102" t="s">
        <v>44</v>
      </c>
      <c r="I64" s="99"/>
      <c r="J64" s="102" t="s">
        <v>44</v>
      </c>
      <c r="K64" s="99"/>
      <c r="L64" s="67"/>
      <c r="M64" s="64">
        <v>15</v>
      </c>
      <c r="N64" s="101" t="s">
        <v>35</v>
      </c>
      <c r="O64" s="101"/>
      <c r="P64" s="101"/>
      <c r="Q64" s="101"/>
      <c r="R64" s="65" t="s">
        <v>41</v>
      </c>
      <c r="S64" s="66">
        <v>6</v>
      </c>
      <c r="T64" s="102" t="s">
        <v>44</v>
      </c>
      <c r="U64" s="99"/>
      <c r="V64" s="102" t="s">
        <v>44</v>
      </c>
      <c r="W64" s="99"/>
      <c r="X64" s="69"/>
    </row>
    <row r="65" spans="1:24" ht="15" customHeight="1">
      <c r="A65" s="64">
        <v>16</v>
      </c>
      <c r="B65" s="101" t="s">
        <v>36</v>
      </c>
      <c r="C65" s="101"/>
      <c r="D65" s="101"/>
      <c r="E65" s="101"/>
      <c r="F65" s="65" t="s">
        <v>41</v>
      </c>
      <c r="G65" s="66">
        <v>6</v>
      </c>
      <c r="H65" s="102" t="s">
        <v>44</v>
      </c>
      <c r="I65" s="99"/>
      <c r="J65" s="102" t="s">
        <v>44</v>
      </c>
      <c r="K65" s="99"/>
      <c r="L65" s="67"/>
      <c r="M65" s="64">
        <v>16</v>
      </c>
      <c r="N65" s="101" t="s">
        <v>36</v>
      </c>
      <c r="O65" s="101"/>
      <c r="P65" s="101"/>
      <c r="Q65" s="101"/>
      <c r="R65" s="65" t="s">
        <v>41</v>
      </c>
      <c r="S65" s="66">
        <v>6</v>
      </c>
      <c r="T65" s="102" t="s">
        <v>44</v>
      </c>
      <c r="U65" s="99"/>
      <c r="V65" s="102" t="s">
        <v>44</v>
      </c>
      <c r="W65" s="99"/>
      <c r="X65" s="69"/>
    </row>
    <row r="66" spans="1:24" ht="15" customHeight="1">
      <c r="A66" s="64">
        <v>17</v>
      </c>
      <c r="B66" s="101" t="s">
        <v>37</v>
      </c>
      <c r="C66" s="101"/>
      <c r="D66" s="101"/>
      <c r="E66" s="101"/>
      <c r="F66" s="65" t="s">
        <v>41</v>
      </c>
      <c r="G66" s="66">
        <v>6</v>
      </c>
      <c r="H66" s="102" t="s">
        <v>44</v>
      </c>
      <c r="I66" s="99"/>
      <c r="J66" s="102" t="s">
        <v>44</v>
      </c>
      <c r="K66" s="99"/>
      <c r="L66" s="67"/>
      <c r="M66" s="64">
        <v>17</v>
      </c>
      <c r="N66" s="101" t="s">
        <v>37</v>
      </c>
      <c r="O66" s="101"/>
      <c r="P66" s="101"/>
      <c r="Q66" s="101"/>
      <c r="R66" s="65" t="s">
        <v>41</v>
      </c>
      <c r="S66" s="66">
        <v>6</v>
      </c>
      <c r="T66" s="102" t="s">
        <v>44</v>
      </c>
      <c r="U66" s="99"/>
      <c r="V66" s="102" t="s">
        <v>44</v>
      </c>
      <c r="W66" s="99"/>
      <c r="X66" s="69"/>
    </row>
    <row r="67" spans="1:24" ht="15" customHeight="1">
      <c r="A67" s="64">
        <v>18</v>
      </c>
      <c r="B67" s="101" t="s">
        <v>38</v>
      </c>
      <c r="C67" s="101"/>
      <c r="D67" s="101"/>
      <c r="E67" s="101"/>
      <c r="F67" s="65" t="s">
        <v>41</v>
      </c>
      <c r="G67" s="66">
        <v>50</v>
      </c>
      <c r="H67" s="102" t="s">
        <v>44</v>
      </c>
      <c r="I67" s="99"/>
      <c r="J67" s="102" t="s">
        <v>44</v>
      </c>
      <c r="K67" s="99"/>
      <c r="L67" s="67"/>
      <c r="M67" s="64">
        <v>18</v>
      </c>
      <c r="N67" s="101" t="s">
        <v>38</v>
      </c>
      <c r="O67" s="101"/>
      <c r="P67" s="101"/>
      <c r="Q67" s="101"/>
      <c r="R67" s="65" t="s">
        <v>41</v>
      </c>
      <c r="S67" s="66">
        <v>50</v>
      </c>
      <c r="T67" s="102" t="s">
        <v>44</v>
      </c>
      <c r="U67" s="99"/>
      <c r="V67" s="102" t="s">
        <v>44</v>
      </c>
      <c r="W67" s="99"/>
      <c r="X67" s="69"/>
    </row>
    <row r="68" spans="1:24" ht="15.5" customHeight="1">
      <c r="A68" s="64">
        <v>19</v>
      </c>
      <c r="B68" s="101" t="s">
        <v>161</v>
      </c>
      <c r="C68" s="101"/>
      <c r="D68" s="101"/>
      <c r="E68" s="101"/>
      <c r="F68" s="65" t="s">
        <v>41</v>
      </c>
      <c r="G68" s="66">
        <v>6</v>
      </c>
      <c r="H68" s="102" t="s">
        <v>44</v>
      </c>
      <c r="I68" s="99"/>
      <c r="J68" s="102" t="s">
        <v>44</v>
      </c>
      <c r="K68" s="99"/>
      <c r="L68" s="67"/>
      <c r="M68" s="64">
        <v>19</v>
      </c>
      <c r="N68" s="101" t="s">
        <v>161</v>
      </c>
      <c r="O68" s="101"/>
      <c r="P68" s="101"/>
      <c r="Q68" s="101"/>
      <c r="R68" s="65" t="s">
        <v>41</v>
      </c>
      <c r="S68" s="66">
        <v>6</v>
      </c>
      <c r="T68" s="102" t="s">
        <v>44</v>
      </c>
      <c r="U68" s="99"/>
      <c r="V68" s="102" t="s">
        <v>44</v>
      </c>
      <c r="W68" s="99"/>
      <c r="X68" s="69"/>
    </row>
    <row r="69" spans="1:24" ht="15" customHeight="1">
      <c r="A69" s="64">
        <v>20</v>
      </c>
      <c r="B69" s="101" t="s">
        <v>221</v>
      </c>
      <c r="C69" s="101"/>
      <c r="D69" s="101"/>
      <c r="E69" s="101"/>
      <c r="F69" s="65" t="s">
        <v>41</v>
      </c>
      <c r="G69" s="66">
        <v>95</v>
      </c>
      <c r="H69" s="102" t="s">
        <v>44</v>
      </c>
      <c r="I69" s="99"/>
      <c r="J69" s="102" t="s">
        <v>44</v>
      </c>
      <c r="K69" s="99"/>
      <c r="L69" s="67"/>
      <c r="M69" s="64">
        <v>20</v>
      </c>
      <c r="N69" s="101" t="s">
        <v>224</v>
      </c>
      <c r="O69" s="101"/>
      <c r="P69" s="101"/>
      <c r="Q69" s="101"/>
      <c r="R69" s="65" t="s">
        <v>41</v>
      </c>
      <c r="S69" s="66">
        <v>90</v>
      </c>
      <c r="T69" s="102" t="s">
        <v>44</v>
      </c>
      <c r="U69" s="99"/>
      <c r="V69" s="102" t="s">
        <v>44</v>
      </c>
      <c r="W69" s="99"/>
      <c r="X69" s="69"/>
    </row>
    <row r="70" spans="1:24" ht="15" customHeight="1">
      <c r="A70" s="64">
        <v>21</v>
      </c>
      <c r="B70" s="101" t="s">
        <v>39</v>
      </c>
      <c r="C70" s="101"/>
      <c r="D70" s="101"/>
      <c r="E70" s="101"/>
      <c r="F70" s="65" t="s">
        <v>41</v>
      </c>
      <c r="G70" s="66">
        <v>6</v>
      </c>
      <c r="H70" s="102" t="s">
        <v>44</v>
      </c>
      <c r="I70" s="99"/>
      <c r="J70" s="102" t="s">
        <v>44</v>
      </c>
      <c r="K70" s="99"/>
      <c r="L70" s="67"/>
      <c r="M70" s="64">
        <v>21</v>
      </c>
      <c r="N70" s="101" t="s">
        <v>39</v>
      </c>
      <c r="O70" s="101"/>
      <c r="P70" s="101"/>
      <c r="Q70" s="101"/>
      <c r="R70" s="65" t="s">
        <v>41</v>
      </c>
      <c r="S70" s="66">
        <v>6</v>
      </c>
      <c r="T70" s="102" t="s">
        <v>44</v>
      </c>
      <c r="U70" s="99"/>
      <c r="V70" s="102" t="s">
        <v>44</v>
      </c>
      <c r="W70" s="99"/>
      <c r="X70" s="69"/>
    </row>
    <row r="71" spans="1:24" ht="15" customHeight="1">
      <c r="A71" s="64">
        <v>22</v>
      </c>
      <c r="B71" s="101" t="s">
        <v>40</v>
      </c>
      <c r="C71" s="101"/>
      <c r="D71" s="101"/>
      <c r="E71" s="101"/>
      <c r="F71" s="65" t="s">
        <v>41</v>
      </c>
      <c r="G71" s="66">
        <v>6</v>
      </c>
      <c r="H71" s="102" t="s">
        <v>44</v>
      </c>
      <c r="I71" s="99"/>
      <c r="J71" s="102" t="s">
        <v>44</v>
      </c>
      <c r="K71" s="99"/>
      <c r="L71" s="67"/>
      <c r="M71" s="64">
        <v>22</v>
      </c>
      <c r="N71" s="101" t="s">
        <v>40</v>
      </c>
      <c r="O71" s="101"/>
      <c r="P71" s="101"/>
      <c r="Q71" s="101"/>
      <c r="R71" s="65" t="s">
        <v>41</v>
      </c>
      <c r="S71" s="66">
        <v>6</v>
      </c>
      <c r="T71" s="102" t="s">
        <v>44</v>
      </c>
      <c r="U71" s="99"/>
      <c r="V71" s="102" t="s">
        <v>44</v>
      </c>
      <c r="W71" s="99"/>
      <c r="X71" s="69"/>
    </row>
    <row r="72" spans="1:24" ht="15" customHeight="1">
      <c r="A72" s="64">
        <v>23</v>
      </c>
      <c r="B72" s="101" t="s">
        <v>168</v>
      </c>
      <c r="C72" s="101"/>
      <c r="D72" s="101"/>
      <c r="E72" s="101"/>
      <c r="F72" s="65" t="s">
        <v>41</v>
      </c>
      <c r="G72" s="66">
        <v>40</v>
      </c>
      <c r="H72" s="102" t="s">
        <v>44</v>
      </c>
      <c r="I72" s="99"/>
      <c r="J72" s="102" t="s">
        <v>44</v>
      </c>
      <c r="K72" s="99"/>
      <c r="L72" s="67"/>
      <c r="M72" s="64">
        <v>23</v>
      </c>
      <c r="N72" s="101" t="s">
        <v>168</v>
      </c>
      <c r="O72" s="101"/>
      <c r="P72" s="101"/>
      <c r="Q72" s="101"/>
      <c r="R72" s="65" t="s">
        <v>41</v>
      </c>
      <c r="S72" s="66">
        <v>40</v>
      </c>
      <c r="T72" s="102" t="s">
        <v>44</v>
      </c>
      <c r="U72" s="99"/>
      <c r="V72" s="102" t="s">
        <v>44</v>
      </c>
      <c r="W72" s="99"/>
      <c r="X72" s="69"/>
    </row>
    <row r="73" spans="1:24" ht="15" customHeight="1">
      <c r="A73" s="64">
        <v>24</v>
      </c>
      <c r="B73" s="101" t="s">
        <v>169</v>
      </c>
      <c r="C73" s="101"/>
      <c r="D73" s="101"/>
      <c r="E73" s="101"/>
      <c r="F73" s="65" t="s">
        <v>41</v>
      </c>
      <c r="G73" s="66">
        <v>8</v>
      </c>
      <c r="H73" s="102" t="s">
        <v>44</v>
      </c>
      <c r="I73" s="99"/>
      <c r="J73" s="102" t="s">
        <v>44</v>
      </c>
      <c r="K73" s="99"/>
      <c r="L73" s="67"/>
      <c r="M73" s="64">
        <v>24</v>
      </c>
      <c r="N73" s="101" t="s">
        <v>169</v>
      </c>
      <c r="O73" s="101"/>
      <c r="P73" s="101"/>
      <c r="Q73" s="101"/>
      <c r="R73" s="65" t="s">
        <v>41</v>
      </c>
      <c r="S73" s="66">
        <v>8</v>
      </c>
      <c r="T73" s="102" t="s">
        <v>44</v>
      </c>
      <c r="U73" s="99"/>
      <c r="V73" s="102" t="s">
        <v>44</v>
      </c>
      <c r="W73" s="99"/>
      <c r="X73" s="69"/>
    </row>
    <row r="74" spans="1:24" ht="15" customHeight="1">
      <c r="A74" s="64">
        <v>25</v>
      </c>
      <c r="B74" s="101" t="s">
        <v>167</v>
      </c>
      <c r="C74" s="101"/>
      <c r="D74" s="101"/>
      <c r="E74" s="101"/>
      <c r="F74" s="65" t="s">
        <v>41</v>
      </c>
      <c r="G74" s="66">
        <v>20</v>
      </c>
      <c r="H74" s="102" t="s">
        <v>44</v>
      </c>
      <c r="I74" s="99"/>
      <c r="J74" s="95" t="s">
        <v>44</v>
      </c>
      <c r="K74" s="97"/>
      <c r="L74" s="67"/>
      <c r="M74" s="64">
        <v>25</v>
      </c>
      <c r="N74" s="101" t="s">
        <v>167</v>
      </c>
      <c r="O74" s="101"/>
      <c r="P74" s="101"/>
      <c r="Q74" s="101"/>
      <c r="R74" s="65" t="s">
        <v>41</v>
      </c>
      <c r="S74" s="66">
        <v>20</v>
      </c>
      <c r="T74" s="102" t="s">
        <v>44</v>
      </c>
      <c r="U74" s="99"/>
      <c r="V74" s="95" t="s">
        <v>44</v>
      </c>
      <c r="W74" s="97"/>
      <c r="X74" s="69"/>
    </row>
    <row r="75" spans="1:24" ht="15" customHeight="1">
      <c r="A75" s="64">
        <v>26</v>
      </c>
      <c r="B75" s="95" t="s">
        <v>170</v>
      </c>
      <c r="C75" s="96"/>
      <c r="D75" s="96"/>
      <c r="E75" s="97"/>
      <c r="F75" s="65" t="s">
        <v>41</v>
      </c>
      <c r="G75" s="66">
        <v>24</v>
      </c>
      <c r="H75" s="102" t="s">
        <v>44</v>
      </c>
      <c r="I75" s="99"/>
      <c r="J75" s="95" t="s">
        <v>44</v>
      </c>
      <c r="K75" s="97"/>
      <c r="L75" s="67"/>
      <c r="M75" s="64">
        <v>26</v>
      </c>
      <c r="N75" s="95" t="s">
        <v>170</v>
      </c>
      <c r="O75" s="96"/>
      <c r="P75" s="96"/>
      <c r="Q75" s="97"/>
      <c r="R75" s="65" t="s">
        <v>41</v>
      </c>
      <c r="S75" s="66">
        <v>24</v>
      </c>
      <c r="T75" s="102" t="s">
        <v>44</v>
      </c>
      <c r="U75" s="99"/>
      <c r="V75" s="95" t="s">
        <v>44</v>
      </c>
      <c r="W75" s="97"/>
      <c r="X75" s="69"/>
    </row>
    <row r="76" spans="1:24" ht="15" customHeight="1">
      <c r="A76" s="64">
        <v>27</v>
      </c>
      <c r="B76" s="101" t="s">
        <v>45</v>
      </c>
      <c r="C76" s="101"/>
      <c r="D76" s="101"/>
      <c r="E76" s="101"/>
      <c r="F76" s="65" t="s">
        <v>41</v>
      </c>
      <c r="G76" s="66">
        <v>45</v>
      </c>
      <c r="H76" s="102" t="s">
        <v>44</v>
      </c>
      <c r="I76" s="99"/>
      <c r="J76" s="102" t="s">
        <v>44</v>
      </c>
      <c r="K76" s="99"/>
      <c r="L76" s="67"/>
      <c r="M76" s="64">
        <v>27</v>
      </c>
      <c r="N76" s="101" t="s">
        <v>45</v>
      </c>
      <c r="O76" s="101"/>
      <c r="P76" s="101"/>
      <c r="Q76" s="101"/>
      <c r="R76" s="65" t="s">
        <v>41</v>
      </c>
      <c r="S76" s="66">
        <v>50</v>
      </c>
      <c r="T76" s="102" t="s">
        <v>44</v>
      </c>
      <c r="U76" s="99"/>
      <c r="V76" s="102" t="s">
        <v>44</v>
      </c>
      <c r="W76" s="99"/>
      <c r="X76" s="69"/>
    </row>
    <row r="77" spans="1:24" ht="15" customHeight="1">
      <c r="A77" s="64">
        <v>28</v>
      </c>
      <c r="B77" s="101" t="s">
        <v>46</v>
      </c>
      <c r="C77" s="101"/>
      <c r="D77" s="101"/>
      <c r="E77" s="101"/>
      <c r="F77" s="65" t="s">
        <v>41</v>
      </c>
      <c r="G77" s="66">
        <v>35</v>
      </c>
      <c r="H77" s="102" t="s">
        <v>44</v>
      </c>
      <c r="I77" s="99"/>
      <c r="J77" s="102" t="s">
        <v>44</v>
      </c>
      <c r="K77" s="99"/>
      <c r="L77" s="90"/>
      <c r="M77" s="64">
        <v>28</v>
      </c>
      <c r="N77" s="101" t="s">
        <v>225</v>
      </c>
      <c r="O77" s="101"/>
      <c r="P77" s="101"/>
      <c r="Q77" s="101"/>
      <c r="R77" s="65" t="s">
        <v>41</v>
      </c>
      <c r="S77" s="66">
        <v>35</v>
      </c>
      <c r="T77" s="102" t="s">
        <v>44</v>
      </c>
      <c r="U77" s="99"/>
      <c r="V77" s="102" t="s">
        <v>44</v>
      </c>
      <c r="W77" s="99"/>
      <c r="X77" s="69"/>
    </row>
    <row r="78" spans="1:24">
      <c r="A78" s="147" t="s">
        <v>16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48"/>
      <c r="M78" s="147" t="s">
        <v>16</v>
      </c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48"/>
    </row>
    <row r="79" spans="1:24">
      <c r="A79" s="147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48"/>
      <c r="M79" s="147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48"/>
    </row>
    <row r="80" spans="1:24">
      <c r="A80" s="147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48"/>
      <c r="M80" s="147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48"/>
    </row>
    <row r="81" spans="1:24">
      <c r="A81" s="147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48"/>
      <c r="M81" s="147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48"/>
    </row>
    <row r="82" spans="1:24">
      <c r="A82" s="147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48"/>
      <c r="M82" s="147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48"/>
    </row>
    <row r="83" spans="1:24">
      <c r="A83" s="147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48"/>
      <c r="M83" s="147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48"/>
    </row>
    <row r="84" spans="1:24" ht="15" thickBot="1">
      <c r="A84" s="149"/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1"/>
      <c r="M84" s="149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1"/>
    </row>
  </sheetData>
  <mergeCells count="420">
    <mergeCell ref="B77:E77"/>
    <mergeCell ref="H77:I77"/>
    <mergeCell ref="J77:K77"/>
    <mergeCell ref="N77:Q77"/>
    <mergeCell ref="T77:U77"/>
    <mergeCell ref="V77:W77"/>
    <mergeCell ref="N75:Q75"/>
    <mergeCell ref="T75:U75"/>
    <mergeCell ref="V75:W75"/>
    <mergeCell ref="N76:Q76"/>
    <mergeCell ref="B76:E76"/>
    <mergeCell ref="N74:Q74"/>
    <mergeCell ref="T74:U74"/>
    <mergeCell ref="V74:W74"/>
    <mergeCell ref="B75:E75"/>
    <mergeCell ref="H75:I75"/>
    <mergeCell ref="J75:K75"/>
    <mergeCell ref="B73:E73"/>
    <mergeCell ref="H73:I73"/>
    <mergeCell ref="J73:K73"/>
    <mergeCell ref="B74:E74"/>
    <mergeCell ref="H74:I74"/>
    <mergeCell ref="J74:K74"/>
    <mergeCell ref="N73:Q73"/>
    <mergeCell ref="T73:U73"/>
    <mergeCell ref="V73:W73"/>
    <mergeCell ref="H71:I71"/>
    <mergeCell ref="J71:K71"/>
    <mergeCell ref="B72:E72"/>
    <mergeCell ref="H72:I72"/>
    <mergeCell ref="J72:K72"/>
    <mergeCell ref="N72:Q72"/>
    <mergeCell ref="T72:U72"/>
    <mergeCell ref="B71:E71"/>
    <mergeCell ref="V70:W70"/>
    <mergeCell ref="N71:Q71"/>
    <mergeCell ref="T71:U71"/>
    <mergeCell ref="V71:W71"/>
    <mergeCell ref="V72:W72"/>
    <mergeCell ref="T20:U20"/>
    <mergeCell ref="V20:W20"/>
    <mergeCell ref="N31:Q31"/>
    <mergeCell ref="T31:U31"/>
    <mergeCell ref="V31:W31"/>
    <mergeCell ref="B70:E70"/>
    <mergeCell ref="H70:I70"/>
    <mergeCell ref="J70:K70"/>
    <mergeCell ref="T64:U64"/>
    <mergeCell ref="V64:W64"/>
    <mergeCell ref="B65:E65"/>
    <mergeCell ref="H65:I65"/>
    <mergeCell ref="J65:K65"/>
    <mergeCell ref="N65:Q65"/>
    <mergeCell ref="T65:U65"/>
    <mergeCell ref="V65:W65"/>
    <mergeCell ref="B35:E35"/>
    <mergeCell ref="H35:I35"/>
    <mergeCell ref="J35:K35"/>
    <mergeCell ref="N35:Q35"/>
    <mergeCell ref="T35:U35"/>
    <mergeCell ref="V35:W35"/>
    <mergeCell ref="T70:U70"/>
    <mergeCell ref="N34:Q34"/>
    <mergeCell ref="B55:E55"/>
    <mergeCell ref="H55:I55"/>
    <mergeCell ref="J55:K55"/>
    <mergeCell ref="N55:Q55"/>
    <mergeCell ref="B33:E33"/>
    <mergeCell ref="B50:E50"/>
    <mergeCell ref="H50:I50"/>
    <mergeCell ref="J50:K50"/>
    <mergeCell ref="B51:E51"/>
    <mergeCell ref="H51:I51"/>
    <mergeCell ref="J51:K51"/>
    <mergeCell ref="B52:E52"/>
    <mergeCell ref="H52:I52"/>
    <mergeCell ref="J52:K52"/>
    <mergeCell ref="D46:L46"/>
    <mergeCell ref="D47:L47"/>
    <mergeCell ref="A45:C45"/>
    <mergeCell ref="A48:A49"/>
    <mergeCell ref="B48:E49"/>
    <mergeCell ref="F48:F49"/>
    <mergeCell ref="G48:K48"/>
    <mergeCell ref="H49:I49"/>
    <mergeCell ref="J49:K49"/>
    <mergeCell ref="M36:X42"/>
    <mergeCell ref="V66:W66"/>
    <mergeCell ref="N67:Q67"/>
    <mergeCell ref="N69:Q69"/>
    <mergeCell ref="T69:U69"/>
    <mergeCell ref="A78:L84"/>
    <mergeCell ref="V69:W69"/>
    <mergeCell ref="B32:E32"/>
    <mergeCell ref="H32:I32"/>
    <mergeCell ref="J32:K32"/>
    <mergeCell ref="N32:Q32"/>
    <mergeCell ref="T32:U32"/>
    <mergeCell ref="V32:W32"/>
    <mergeCell ref="N68:Q68"/>
    <mergeCell ref="T67:U67"/>
    <mergeCell ref="V67:W67"/>
    <mergeCell ref="T68:U68"/>
    <mergeCell ref="V68:W68"/>
    <mergeCell ref="T62:U62"/>
    <mergeCell ref="V62:W62"/>
    <mergeCell ref="N63:Q63"/>
    <mergeCell ref="T63:U63"/>
    <mergeCell ref="V63:W63"/>
    <mergeCell ref="B60:E60"/>
    <mergeCell ref="D45:L45"/>
    <mergeCell ref="B66:E66"/>
    <mergeCell ref="H66:I66"/>
    <mergeCell ref="J66:K66"/>
    <mergeCell ref="B64:E64"/>
    <mergeCell ref="H64:I64"/>
    <mergeCell ref="M78:X84"/>
    <mergeCell ref="H19:I19"/>
    <mergeCell ref="J19:K19"/>
    <mergeCell ref="H34:I34"/>
    <mergeCell ref="J34:K34"/>
    <mergeCell ref="T19:U19"/>
    <mergeCell ref="T34:U34"/>
    <mergeCell ref="V19:W19"/>
    <mergeCell ref="V34:W34"/>
    <mergeCell ref="T61:U61"/>
    <mergeCell ref="T76:U76"/>
    <mergeCell ref="V61:W61"/>
    <mergeCell ref="V76:W76"/>
    <mergeCell ref="H76:I76"/>
    <mergeCell ref="J76:K76"/>
    <mergeCell ref="H69:I69"/>
    <mergeCell ref="J69:K69"/>
    <mergeCell ref="N66:Q66"/>
    <mergeCell ref="T66:U66"/>
    <mergeCell ref="H57:I57"/>
    <mergeCell ref="J57:K57"/>
    <mergeCell ref="B58:E58"/>
    <mergeCell ref="H58:I58"/>
    <mergeCell ref="J58:K58"/>
    <mergeCell ref="B59:E59"/>
    <mergeCell ref="H59:I59"/>
    <mergeCell ref="J59:K59"/>
    <mergeCell ref="H60:I60"/>
    <mergeCell ref="J60:K60"/>
    <mergeCell ref="T22:U22"/>
    <mergeCell ref="V22:W22"/>
    <mergeCell ref="B31:E31"/>
    <mergeCell ref="H31:I31"/>
    <mergeCell ref="J31:K31"/>
    <mergeCell ref="B34:E34"/>
    <mergeCell ref="B44:C44"/>
    <mergeCell ref="D44:E44"/>
    <mergeCell ref="F44:H44"/>
    <mergeCell ref="I44:J44"/>
    <mergeCell ref="K44:L44"/>
    <mergeCell ref="H33:I33"/>
    <mergeCell ref="J33:K33"/>
    <mergeCell ref="A43:B43"/>
    <mergeCell ref="C43:F43"/>
    <mergeCell ref="G43:H43"/>
    <mergeCell ref="I43:L43"/>
    <mergeCell ref="A36:L42"/>
    <mergeCell ref="N30:Q30"/>
    <mergeCell ref="T30:U30"/>
    <mergeCell ref="V30:W30"/>
    <mergeCell ref="T24:U24"/>
    <mergeCell ref="M43:N43"/>
    <mergeCell ref="O43:R43"/>
    <mergeCell ref="N13:Q13"/>
    <mergeCell ref="T13:U13"/>
    <mergeCell ref="N33:Q33"/>
    <mergeCell ref="T33:U33"/>
    <mergeCell ref="V33:W33"/>
    <mergeCell ref="N26:Q26"/>
    <mergeCell ref="T26:U26"/>
    <mergeCell ref="N29:Q29"/>
    <mergeCell ref="T29:U29"/>
    <mergeCell ref="V29:W29"/>
    <mergeCell ref="V24:W24"/>
    <mergeCell ref="N25:Q25"/>
    <mergeCell ref="T25:U25"/>
    <mergeCell ref="V25:W25"/>
    <mergeCell ref="N27:Q27"/>
    <mergeCell ref="T27:U27"/>
    <mergeCell ref="V27:W27"/>
    <mergeCell ref="N28:Q28"/>
    <mergeCell ref="T28:U28"/>
    <mergeCell ref="V28:W28"/>
    <mergeCell ref="N24:Q24"/>
    <mergeCell ref="V26:W26"/>
    <mergeCell ref="V21:W21"/>
    <mergeCell ref="N22:Q22"/>
    <mergeCell ref="V18:W18"/>
    <mergeCell ref="T15:U15"/>
    <mergeCell ref="V15:W15"/>
    <mergeCell ref="N16:Q16"/>
    <mergeCell ref="T16:U16"/>
    <mergeCell ref="V16:W16"/>
    <mergeCell ref="N17:Q17"/>
    <mergeCell ref="T17:U17"/>
    <mergeCell ref="V17:W17"/>
    <mergeCell ref="V7:W7"/>
    <mergeCell ref="N8:Q8"/>
    <mergeCell ref="T8:U8"/>
    <mergeCell ref="V8:W8"/>
    <mergeCell ref="N23:Q23"/>
    <mergeCell ref="T23:U23"/>
    <mergeCell ref="V23:W23"/>
    <mergeCell ref="N19:Q19"/>
    <mergeCell ref="N21:Q21"/>
    <mergeCell ref="T21:U21"/>
    <mergeCell ref="N11:Q11"/>
    <mergeCell ref="T11:U11"/>
    <mergeCell ref="V11:W11"/>
    <mergeCell ref="N15:Q15"/>
    <mergeCell ref="N20:Q20"/>
    <mergeCell ref="V13:W13"/>
    <mergeCell ref="N12:Q12"/>
    <mergeCell ref="T12:U12"/>
    <mergeCell ref="V12:W12"/>
    <mergeCell ref="N14:Q14"/>
    <mergeCell ref="T14:U14"/>
    <mergeCell ref="V14:W14"/>
    <mergeCell ref="N18:Q18"/>
    <mergeCell ref="T18:U18"/>
    <mergeCell ref="M1:N1"/>
    <mergeCell ref="O1:R1"/>
    <mergeCell ref="P2:Q2"/>
    <mergeCell ref="R2:T2"/>
    <mergeCell ref="U2:V2"/>
    <mergeCell ref="W2:X2"/>
    <mergeCell ref="S1:T1"/>
    <mergeCell ref="U1:X1"/>
    <mergeCell ref="N2:O2"/>
    <mergeCell ref="A1:B1"/>
    <mergeCell ref="C1:F1"/>
    <mergeCell ref="D2:E2"/>
    <mergeCell ref="F2:H2"/>
    <mergeCell ref="I2:J2"/>
    <mergeCell ref="K2:L2"/>
    <mergeCell ref="G1:H1"/>
    <mergeCell ref="I1:L1"/>
    <mergeCell ref="B2:C2"/>
    <mergeCell ref="H14:I14"/>
    <mergeCell ref="J9:K9"/>
    <mergeCell ref="A6:A7"/>
    <mergeCell ref="B6:E7"/>
    <mergeCell ref="F6:F7"/>
    <mergeCell ref="G6:K6"/>
    <mergeCell ref="H7:I7"/>
    <mergeCell ref="J7:K7"/>
    <mergeCell ref="J13:K13"/>
    <mergeCell ref="J14:K14"/>
    <mergeCell ref="B26:E26"/>
    <mergeCell ref="H26:I26"/>
    <mergeCell ref="J26:K26"/>
    <mergeCell ref="B18:E18"/>
    <mergeCell ref="B17:E17"/>
    <mergeCell ref="H17:I17"/>
    <mergeCell ref="H18:I18"/>
    <mergeCell ref="J17:K17"/>
    <mergeCell ref="J18:K18"/>
    <mergeCell ref="B28:E28"/>
    <mergeCell ref="H28:I28"/>
    <mergeCell ref="J28:K28"/>
    <mergeCell ref="B29:E29"/>
    <mergeCell ref="H23:I23"/>
    <mergeCell ref="J23:K23"/>
    <mergeCell ref="B20:E20"/>
    <mergeCell ref="H20:I20"/>
    <mergeCell ref="J20:K20"/>
    <mergeCell ref="B22:E22"/>
    <mergeCell ref="H22:I22"/>
    <mergeCell ref="J22:K22"/>
    <mergeCell ref="B23:E23"/>
    <mergeCell ref="H29:I29"/>
    <mergeCell ref="J29:K29"/>
    <mergeCell ref="B24:E24"/>
    <mergeCell ref="H24:I24"/>
    <mergeCell ref="J24:K24"/>
    <mergeCell ref="B25:E25"/>
    <mergeCell ref="H25:I25"/>
    <mergeCell ref="J25:K25"/>
    <mergeCell ref="B27:E27"/>
    <mergeCell ref="H27:I27"/>
    <mergeCell ref="J27:K27"/>
    <mergeCell ref="A3:C3"/>
    <mergeCell ref="D3:L3"/>
    <mergeCell ref="A4:C5"/>
    <mergeCell ref="M3:O3"/>
    <mergeCell ref="P3:X3"/>
    <mergeCell ref="M4:O5"/>
    <mergeCell ref="B10:E10"/>
    <mergeCell ref="H10:I10"/>
    <mergeCell ref="J10:K10"/>
    <mergeCell ref="B8:E8"/>
    <mergeCell ref="H8:I8"/>
    <mergeCell ref="J8:K8"/>
    <mergeCell ref="B9:E9"/>
    <mergeCell ref="D4:L4"/>
    <mergeCell ref="D5:L5"/>
    <mergeCell ref="N9:Q9"/>
    <mergeCell ref="T9:U9"/>
    <mergeCell ref="V9:W9"/>
    <mergeCell ref="N10:Q10"/>
    <mergeCell ref="M6:M7"/>
    <mergeCell ref="N6:Q7"/>
    <mergeCell ref="R6:R7"/>
    <mergeCell ref="S6:W6"/>
    <mergeCell ref="T7:U7"/>
    <mergeCell ref="T10:U10"/>
    <mergeCell ref="V10:W10"/>
    <mergeCell ref="P4:X4"/>
    <mergeCell ref="P5:X5"/>
    <mergeCell ref="H9:I9"/>
    <mergeCell ref="H16:I16"/>
    <mergeCell ref="J16:K16"/>
    <mergeCell ref="B21:E21"/>
    <mergeCell ref="H21:I21"/>
    <mergeCell ref="J21:K21"/>
    <mergeCell ref="B19:E19"/>
    <mergeCell ref="B13:E13"/>
    <mergeCell ref="H13:I13"/>
    <mergeCell ref="B15:E15"/>
    <mergeCell ref="H15:I15"/>
    <mergeCell ref="J15:K15"/>
    <mergeCell ref="B16:E16"/>
    <mergeCell ref="B11:E11"/>
    <mergeCell ref="H11:I11"/>
    <mergeCell ref="J11:K11"/>
    <mergeCell ref="B12:E12"/>
    <mergeCell ref="H12:I12"/>
    <mergeCell ref="J12:K12"/>
    <mergeCell ref="B14:E14"/>
    <mergeCell ref="B30:E30"/>
    <mergeCell ref="H30:I30"/>
    <mergeCell ref="J30:K30"/>
    <mergeCell ref="P45:X45"/>
    <mergeCell ref="M46:O47"/>
    <mergeCell ref="M48:M49"/>
    <mergeCell ref="N48:Q49"/>
    <mergeCell ref="R48:R49"/>
    <mergeCell ref="S48:W48"/>
    <mergeCell ref="A46:C47"/>
    <mergeCell ref="S43:T43"/>
    <mergeCell ref="U43:X43"/>
    <mergeCell ref="V49:W49"/>
    <mergeCell ref="P46:X46"/>
    <mergeCell ref="N44:O44"/>
    <mergeCell ref="P44:Q44"/>
    <mergeCell ref="R44:T44"/>
    <mergeCell ref="U44:V44"/>
    <mergeCell ref="W44:X44"/>
    <mergeCell ref="P47:X47"/>
    <mergeCell ref="M45:O45"/>
    <mergeCell ref="T51:U51"/>
    <mergeCell ref="V51:W51"/>
    <mergeCell ref="N52:Q52"/>
    <mergeCell ref="T52:U52"/>
    <mergeCell ref="V52:W52"/>
    <mergeCell ref="T49:U49"/>
    <mergeCell ref="N51:Q51"/>
    <mergeCell ref="B53:E53"/>
    <mergeCell ref="H53:I53"/>
    <mergeCell ref="J53:K53"/>
    <mergeCell ref="V50:W50"/>
    <mergeCell ref="N50:Q50"/>
    <mergeCell ref="T50:U50"/>
    <mergeCell ref="T53:U53"/>
    <mergeCell ref="V53:W53"/>
    <mergeCell ref="N53:Q53"/>
    <mergeCell ref="B54:E54"/>
    <mergeCell ref="H54:I54"/>
    <mergeCell ref="B56:E56"/>
    <mergeCell ref="H56:I56"/>
    <mergeCell ref="J56:K56"/>
    <mergeCell ref="B57:E57"/>
    <mergeCell ref="N59:Q59"/>
    <mergeCell ref="T59:U59"/>
    <mergeCell ref="V59:W59"/>
    <mergeCell ref="T55:U55"/>
    <mergeCell ref="V55:W55"/>
    <mergeCell ref="J54:K54"/>
    <mergeCell ref="T58:U58"/>
    <mergeCell ref="V58:W58"/>
    <mergeCell ref="T56:U56"/>
    <mergeCell ref="V56:W56"/>
    <mergeCell ref="N57:Q57"/>
    <mergeCell ref="T57:U57"/>
    <mergeCell ref="V57:W57"/>
    <mergeCell ref="N54:Q54"/>
    <mergeCell ref="T54:U54"/>
    <mergeCell ref="V54:W54"/>
    <mergeCell ref="N58:Q58"/>
    <mergeCell ref="N56:Q56"/>
    <mergeCell ref="N60:Q60"/>
    <mergeCell ref="T60:U60"/>
    <mergeCell ref="V60:W60"/>
    <mergeCell ref="N61:Q61"/>
    <mergeCell ref="B68:E68"/>
    <mergeCell ref="H68:I68"/>
    <mergeCell ref="J68:K68"/>
    <mergeCell ref="N64:Q64"/>
    <mergeCell ref="N70:Q70"/>
    <mergeCell ref="J67:K67"/>
    <mergeCell ref="N62:Q62"/>
    <mergeCell ref="B69:E69"/>
    <mergeCell ref="B62:E62"/>
    <mergeCell ref="H62:I62"/>
    <mergeCell ref="J62:K62"/>
    <mergeCell ref="B67:E67"/>
    <mergeCell ref="H67:I67"/>
    <mergeCell ref="J64:K64"/>
    <mergeCell ref="B61:E61"/>
    <mergeCell ref="H61:I61"/>
    <mergeCell ref="J61:K61"/>
    <mergeCell ref="B63:E63"/>
    <mergeCell ref="H63:I63"/>
    <mergeCell ref="J63:K63"/>
  </mergeCells>
  <phoneticPr fontId="2" type="noConversion"/>
  <pageMargins left="0.5" right="0.5" top="0.75" bottom="0.75" header="0.3" footer="0.3"/>
  <pageSetup paperSize="9" orientation="portrait" r:id="rId1"/>
  <headerFooter>
    <oddHeader>&amp;C&amp;16规模及工作量估计表（文档）</oddHeader>
  </headerFooter>
  <rowBreaks count="1" manualBreakCount="1">
    <brk id="4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7"/>
  <sheetViews>
    <sheetView showWhiteSpace="0" view="pageLayout" zoomScaleNormal="100" workbookViewId="0">
      <selection activeCell="H11" sqref="H11:I11"/>
    </sheetView>
  </sheetViews>
  <sheetFormatPr baseColWidth="10" defaultColWidth="8.83203125" defaultRowHeight="14"/>
  <cols>
    <col min="2" max="2" width="7.1640625" customWidth="1"/>
    <col min="3" max="3" width="9" customWidth="1"/>
    <col min="5" max="5" width="7.83203125" customWidth="1"/>
    <col min="7" max="7" width="8.83203125" customWidth="1"/>
    <col min="8" max="8" width="4.6640625" customWidth="1"/>
    <col min="9" max="9" width="5.33203125" customWidth="1"/>
    <col min="10" max="10" width="8.1640625" customWidth="1"/>
    <col min="11" max="11" width="2.33203125" customWidth="1"/>
    <col min="12" max="12" width="8.83203125" customWidth="1"/>
    <col min="14" max="14" width="7.6640625" customWidth="1"/>
    <col min="17" max="17" width="9.6640625" customWidth="1"/>
    <col min="18" max="18" width="6.5" customWidth="1"/>
    <col min="20" max="20" width="7.6640625" customWidth="1"/>
    <col min="21" max="21" width="2" customWidth="1"/>
    <col min="22" max="22" width="8.6640625" customWidth="1"/>
    <col min="23" max="23" width="1.5" customWidth="1"/>
    <col min="24" max="24" width="8.1640625" customWidth="1"/>
  </cols>
  <sheetData>
    <row r="1" spans="1:24" ht="29" customHeight="1" thickTop="1">
      <c r="A1" s="154" t="s">
        <v>0</v>
      </c>
      <c r="B1" s="141"/>
      <c r="C1" s="142" t="s">
        <v>254</v>
      </c>
      <c r="D1" s="143"/>
      <c r="E1" s="143"/>
      <c r="F1" s="143"/>
      <c r="G1" s="118" t="s">
        <v>1</v>
      </c>
      <c r="H1" s="119"/>
      <c r="I1" s="118" t="s">
        <v>238</v>
      </c>
      <c r="J1" s="120"/>
      <c r="K1" s="120"/>
      <c r="L1" s="121"/>
      <c r="M1" s="154" t="s">
        <v>0</v>
      </c>
      <c r="N1" s="141"/>
      <c r="O1" s="142" t="s">
        <v>254</v>
      </c>
      <c r="P1" s="143"/>
      <c r="Q1" s="143"/>
      <c r="R1" s="143"/>
      <c r="S1" s="118" t="s">
        <v>1</v>
      </c>
      <c r="T1" s="119"/>
      <c r="U1" s="118" t="s">
        <v>238</v>
      </c>
      <c r="V1" s="120"/>
      <c r="W1" s="120"/>
      <c r="X1" s="121"/>
    </row>
    <row r="2" spans="1:24" ht="33" customHeight="1">
      <c r="A2" s="61" t="s">
        <v>2</v>
      </c>
      <c r="B2" s="107" t="s">
        <v>239</v>
      </c>
      <c r="C2" s="125"/>
      <c r="D2" s="126" t="s">
        <v>3</v>
      </c>
      <c r="E2" s="125"/>
      <c r="F2" s="100" t="s">
        <v>155</v>
      </c>
      <c r="G2" s="100"/>
      <c r="H2" s="100"/>
      <c r="I2" s="126" t="s">
        <v>4</v>
      </c>
      <c r="J2" s="125"/>
      <c r="K2" s="100">
        <v>1</v>
      </c>
      <c r="L2" s="127"/>
      <c r="M2" s="61" t="s">
        <v>2</v>
      </c>
      <c r="N2" s="107" t="s">
        <v>237</v>
      </c>
      <c r="O2" s="125"/>
      <c r="P2" s="126" t="s">
        <v>3</v>
      </c>
      <c r="Q2" s="125"/>
      <c r="R2" s="100" t="s">
        <v>155</v>
      </c>
      <c r="S2" s="100"/>
      <c r="T2" s="100"/>
      <c r="U2" s="126" t="s">
        <v>4</v>
      </c>
      <c r="V2" s="125"/>
      <c r="W2" s="100">
        <v>1</v>
      </c>
      <c r="X2" s="127"/>
    </row>
    <row r="3" spans="1:24" ht="22.25" customHeight="1">
      <c r="A3" s="130" t="s">
        <v>5</v>
      </c>
      <c r="B3" s="108"/>
      <c r="C3" s="125"/>
      <c r="D3" s="107" t="s">
        <v>26</v>
      </c>
      <c r="E3" s="108"/>
      <c r="F3" s="108"/>
      <c r="G3" s="108"/>
      <c r="H3" s="108"/>
      <c r="I3" s="108"/>
      <c r="J3" s="108"/>
      <c r="K3" s="108"/>
      <c r="L3" s="109"/>
      <c r="M3" s="130" t="s">
        <v>5</v>
      </c>
      <c r="N3" s="108"/>
      <c r="O3" s="125"/>
      <c r="P3" s="107" t="s">
        <v>26</v>
      </c>
      <c r="Q3" s="108"/>
      <c r="R3" s="108"/>
      <c r="S3" s="108"/>
      <c r="T3" s="108"/>
      <c r="U3" s="108"/>
      <c r="V3" s="108"/>
      <c r="W3" s="108"/>
      <c r="X3" s="109"/>
    </row>
    <row r="4" spans="1:24" ht="140" customHeight="1">
      <c r="A4" s="110" t="s">
        <v>6</v>
      </c>
      <c r="B4" s="111"/>
      <c r="C4" s="112"/>
      <c r="D4" s="103" t="s">
        <v>261</v>
      </c>
      <c r="E4" s="128"/>
      <c r="F4" s="128"/>
      <c r="G4" s="128"/>
      <c r="H4" s="128"/>
      <c r="I4" s="128"/>
      <c r="J4" s="128"/>
      <c r="K4" s="128"/>
      <c r="L4" s="129"/>
      <c r="M4" s="110" t="s">
        <v>6</v>
      </c>
      <c r="N4" s="111"/>
      <c r="O4" s="112"/>
      <c r="P4" s="103" t="s">
        <v>261</v>
      </c>
      <c r="Q4" s="128"/>
      <c r="R4" s="128"/>
      <c r="S4" s="128"/>
      <c r="T4" s="128"/>
      <c r="U4" s="128"/>
      <c r="V4" s="128"/>
      <c r="W4" s="128"/>
      <c r="X4" s="129"/>
    </row>
    <row r="5" spans="1:24" ht="104" customHeight="1">
      <c r="A5" s="113"/>
      <c r="B5" s="114"/>
      <c r="C5" s="115"/>
      <c r="D5" s="103" t="s">
        <v>263</v>
      </c>
      <c r="E5" s="128"/>
      <c r="F5" s="128"/>
      <c r="G5" s="128"/>
      <c r="H5" s="128"/>
      <c r="I5" s="128"/>
      <c r="J5" s="128"/>
      <c r="K5" s="128"/>
      <c r="L5" s="129"/>
      <c r="M5" s="113"/>
      <c r="N5" s="114"/>
      <c r="O5" s="115"/>
      <c r="P5" s="103" t="s">
        <v>263</v>
      </c>
      <c r="Q5" s="128"/>
      <c r="R5" s="128"/>
      <c r="S5" s="128"/>
      <c r="T5" s="128"/>
      <c r="U5" s="128"/>
      <c r="V5" s="128"/>
      <c r="W5" s="128"/>
      <c r="X5" s="129"/>
    </row>
    <row r="6" spans="1:24" ht="15.5" customHeight="1">
      <c r="A6" s="116" t="s">
        <v>7</v>
      </c>
      <c r="B6" s="117" t="s">
        <v>8</v>
      </c>
      <c r="C6" s="117"/>
      <c r="D6" s="117"/>
      <c r="E6" s="117"/>
      <c r="F6" s="117" t="s">
        <v>43</v>
      </c>
      <c r="G6" s="117" t="s">
        <v>10</v>
      </c>
      <c r="H6" s="117"/>
      <c r="I6" s="117"/>
      <c r="J6" s="117"/>
      <c r="K6" s="117"/>
      <c r="L6" s="62" t="s">
        <v>11</v>
      </c>
      <c r="M6" s="116" t="s">
        <v>7</v>
      </c>
      <c r="N6" s="117" t="s">
        <v>8</v>
      </c>
      <c r="O6" s="117"/>
      <c r="P6" s="117"/>
      <c r="Q6" s="117"/>
      <c r="R6" s="117" t="s">
        <v>43</v>
      </c>
      <c r="S6" s="117" t="s">
        <v>10</v>
      </c>
      <c r="T6" s="117"/>
      <c r="U6" s="117"/>
      <c r="V6" s="117"/>
      <c r="W6" s="117"/>
      <c r="X6" s="62" t="s">
        <v>11</v>
      </c>
    </row>
    <row r="7" spans="1:24" ht="17.5" customHeight="1">
      <c r="A7" s="116"/>
      <c r="B7" s="117"/>
      <c r="C7" s="117"/>
      <c r="D7" s="117"/>
      <c r="E7" s="117"/>
      <c r="F7" s="117"/>
      <c r="G7" s="68" t="s">
        <v>12</v>
      </c>
      <c r="H7" s="105" t="s">
        <v>13</v>
      </c>
      <c r="I7" s="105"/>
      <c r="J7" s="105" t="s">
        <v>17</v>
      </c>
      <c r="K7" s="105"/>
      <c r="L7" s="69"/>
      <c r="M7" s="116"/>
      <c r="N7" s="117"/>
      <c r="O7" s="117"/>
      <c r="P7" s="117"/>
      <c r="Q7" s="117"/>
      <c r="R7" s="117"/>
      <c r="S7" s="68" t="s">
        <v>12</v>
      </c>
      <c r="T7" s="105" t="s">
        <v>13</v>
      </c>
      <c r="U7" s="105"/>
      <c r="V7" s="105" t="s">
        <v>17</v>
      </c>
      <c r="W7" s="105"/>
      <c r="X7" s="69"/>
    </row>
    <row r="8" spans="1:24" ht="15" customHeight="1">
      <c r="A8" s="70">
        <v>24</v>
      </c>
      <c r="B8" s="95">
        <v>1</v>
      </c>
      <c r="C8" s="96"/>
      <c r="D8" s="96"/>
      <c r="E8" s="97"/>
      <c r="F8" s="71" t="s">
        <v>15</v>
      </c>
      <c r="G8" s="66">
        <v>2200</v>
      </c>
      <c r="H8" s="126">
        <v>2200</v>
      </c>
      <c r="I8" s="125">
        <v>500</v>
      </c>
      <c r="J8" s="153">
        <v>0</v>
      </c>
      <c r="K8" s="153"/>
      <c r="L8" s="69"/>
      <c r="M8" s="70">
        <v>24</v>
      </c>
      <c r="N8" s="95">
        <v>1</v>
      </c>
      <c r="O8" s="96"/>
      <c r="P8" s="96"/>
      <c r="Q8" s="97"/>
      <c r="R8" s="71" t="s">
        <v>15</v>
      </c>
      <c r="S8" s="66">
        <v>1800</v>
      </c>
      <c r="T8" s="126">
        <v>1800</v>
      </c>
      <c r="U8" s="125">
        <v>400</v>
      </c>
      <c r="V8" s="153">
        <v>0</v>
      </c>
      <c r="W8" s="153"/>
      <c r="X8" s="69"/>
    </row>
    <row r="9" spans="1:24" ht="15" customHeight="1">
      <c r="A9" s="70">
        <v>25</v>
      </c>
      <c r="B9" s="95">
        <v>2</v>
      </c>
      <c r="C9" s="96"/>
      <c r="D9" s="96"/>
      <c r="E9" s="97"/>
      <c r="F9" s="71" t="s">
        <v>15</v>
      </c>
      <c r="G9" s="66">
        <v>9000</v>
      </c>
      <c r="H9" s="126">
        <v>9000</v>
      </c>
      <c r="I9" s="125">
        <v>500</v>
      </c>
      <c r="J9" s="153">
        <v>0</v>
      </c>
      <c r="K9" s="153"/>
      <c r="L9" s="69"/>
      <c r="M9" s="70">
        <v>25</v>
      </c>
      <c r="N9" s="95">
        <v>2</v>
      </c>
      <c r="O9" s="96"/>
      <c r="P9" s="96"/>
      <c r="Q9" s="97"/>
      <c r="R9" s="71" t="s">
        <v>15</v>
      </c>
      <c r="S9" s="66">
        <v>8500</v>
      </c>
      <c r="T9" s="126">
        <v>8500</v>
      </c>
      <c r="U9" s="125">
        <v>400</v>
      </c>
      <c r="V9" s="153">
        <v>0</v>
      </c>
      <c r="W9" s="153"/>
      <c r="X9" s="69"/>
    </row>
    <row r="10" spans="1:24" ht="15" customHeight="1">
      <c r="A10" s="70">
        <v>26</v>
      </c>
      <c r="B10" s="95">
        <v>3</v>
      </c>
      <c r="C10" s="96"/>
      <c r="D10" s="96"/>
      <c r="E10" s="97"/>
      <c r="F10" s="71" t="s">
        <v>15</v>
      </c>
      <c r="G10" s="66">
        <v>15000</v>
      </c>
      <c r="H10" s="126">
        <v>15000</v>
      </c>
      <c r="I10" s="125">
        <v>500</v>
      </c>
      <c r="J10" s="153">
        <v>0</v>
      </c>
      <c r="K10" s="153"/>
      <c r="L10" s="69"/>
      <c r="M10" s="70">
        <v>26</v>
      </c>
      <c r="N10" s="95">
        <v>3</v>
      </c>
      <c r="O10" s="96"/>
      <c r="P10" s="96"/>
      <c r="Q10" s="97"/>
      <c r="R10" s="71" t="s">
        <v>15</v>
      </c>
      <c r="S10" s="66">
        <v>12000</v>
      </c>
      <c r="T10" s="126">
        <v>12000</v>
      </c>
      <c r="U10" s="125">
        <v>400</v>
      </c>
      <c r="V10" s="153">
        <v>0</v>
      </c>
      <c r="W10" s="153"/>
      <c r="X10" s="69"/>
    </row>
    <row r="11" spans="1:24" ht="15" customHeight="1">
      <c r="A11" s="70">
        <v>27</v>
      </c>
      <c r="B11" s="95">
        <v>4</v>
      </c>
      <c r="C11" s="96"/>
      <c r="D11" s="96"/>
      <c r="E11" s="97"/>
      <c r="F11" s="71" t="s">
        <v>15</v>
      </c>
      <c r="G11" s="66">
        <v>4000</v>
      </c>
      <c r="H11" s="126">
        <v>4000</v>
      </c>
      <c r="I11" s="125">
        <v>500</v>
      </c>
      <c r="J11" s="153">
        <v>0</v>
      </c>
      <c r="K11" s="153"/>
      <c r="L11" s="69"/>
      <c r="M11" s="70">
        <v>27</v>
      </c>
      <c r="N11" s="95">
        <v>4</v>
      </c>
      <c r="O11" s="96"/>
      <c r="P11" s="96"/>
      <c r="Q11" s="97"/>
      <c r="R11" s="71" t="s">
        <v>15</v>
      </c>
      <c r="S11" s="66">
        <v>3800</v>
      </c>
      <c r="T11" s="126">
        <v>3800</v>
      </c>
      <c r="U11" s="125">
        <v>400</v>
      </c>
      <c r="V11" s="153">
        <v>0</v>
      </c>
      <c r="W11" s="153"/>
      <c r="X11" s="69"/>
    </row>
    <row r="12" spans="1:24" ht="15" customHeight="1">
      <c r="A12" s="70">
        <v>30</v>
      </c>
      <c r="B12" s="102" t="s">
        <v>255</v>
      </c>
      <c r="C12" s="152"/>
      <c r="D12" s="152"/>
      <c r="E12" s="106"/>
      <c r="F12" s="68" t="s">
        <v>41</v>
      </c>
      <c r="G12" s="66">
        <f>ROUNDUP(G8/40,0)</f>
        <v>55</v>
      </c>
      <c r="H12" s="105" t="s">
        <v>44</v>
      </c>
      <c r="I12" s="100"/>
      <c r="J12" s="100"/>
      <c r="K12" s="100"/>
      <c r="L12" s="69"/>
      <c r="M12" s="70">
        <v>30</v>
      </c>
      <c r="N12" s="102" t="s">
        <v>255</v>
      </c>
      <c r="O12" s="152"/>
      <c r="P12" s="152"/>
      <c r="Q12" s="106"/>
      <c r="R12" s="68" t="s">
        <v>41</v>
      </c>
      <c r="S12" s="66">
        <f>ROUNDUP(S8/40,0)</f>
        <v>45</v>
      </c>
      <c r="T12" s="105" t="s">
        <v>44</v>
      </c>
      <c r="U12" s="100"/>
      <c r="V12" s="100"/>
      <c r="W12" s="100"/>
      <c r="X12" s="69"/>
    </row>
    <row r="13" spans="1:24" ht="15" customHeight="1">
      <c r="A13" s="70">
        <v>31</v>
      </c>
      <c r="B13" s="102" t="s">
        <v>256</v>
      </c>
      <c r="C13" s="152"/>
      <c r="D13" s="152"/>
      <c r="E13" s="106"/>
      <c r="F13" s="68" t="s">
        <v>41</v>
      </c>
      <c r="G13" s="66">
        <f>ROUNDUP(G9/60,0)</f>
        <v>150</v>
      </c>
      <c r="H13" s="105" t="s">
        <v>44</v>
      </c>
      <c r="I13" s="100"/>
      <c r="J13" s="100"/>
      <c r="K13" s="100"/>
      <c r="L13" s="69"/>
      <c r="M13" s="70">
        <v>31</v>
      </c>
      <c r="N13" s="102" t="s">
        <v>256</v>
      </c>
      <c r="O13" s="152"/>
      <c r="P13" s="152"/>
      <c r="Q13" s="106"/>
      <c r="R13" s="68" t="s">
        <v>41</v>
      </c>
      <c r="S13" s="66">
        <f>ROUNDUP(S9/60,0)</f>
        <v>142</v>
      </c>
      <c r="T13" s="105" t="s">
        <v>44</v>
      </c>
      <c r="U13" s="100"/>
      <c r="V13" s="100"/>
      <c r="W13" s="100"/>
      <c r="X13" s="69"/>
    </row>
    <row r="14" spans="1:24" ht="15" customHeight="1">
      <c r="A14" s="70">
        <v>31</v>
      </c>
      <c r="B14" s="102" t="s">
        <v>257</v>
      </c>
      <c r="C14" s="152"/>
      <c r="D14" s="152"/>
      <c r="E14" s="106"/>
      <c r="F14" s="68" t="s">
        <v>41</v>
      </c>
      <c r="G14" s="66">
        <f>ROUNDUP(G10/60,0)</f>
        <v>250</v>
      </c>
      <c r="H14" s="105" t="s">
        <v>44</v>
      </c>
      <c r="I14" s="100"/>
      <c r="J14" s="100"/>
      <c r="K14" s="100"/>
      <c r="L14" s="69"/>
      <c r="M14" s="70">
        <v>31</v>
      </c>
      <c r="N14" s="102" t="s">
        <v>257</v>
      </c>
      <c r="O14" s="152"/>
      <c r="P14" s="152"/>
      <c r="Q14" s="106"/>
      <c r="R14" s="68" t="s">
        <v>41</v>
      </c>
      <c r="S14" s="66">
        <f>ROUNDUP(S10/60,0)</f>
        <v>200</v>
      </c>
      <c r="T14" s="105" t="s">
        <v>44</v>
      </c>
      <c r="U14" s="100"/>
      <c r="V14" s="100"/>
      <c r="W14" s="100"/>
      <c r="X14" s="69"/>
    </row>
    <row r="15" spans="1:24" ht="15" customHeight="1">
      <c r="A15" s="70">
        <v>32</v>
      </c>
      <c r="B15" s="105" t="s">
        <v>258</v>
      </c>
      <c r="C15" s="100"/>
      <c r="D15" s="100"/>
      <c r="E15" s="100"/>
      <c r="F15" s="68" t="s">
        <v>41</v>
      </c>
      <c r="G15" s="66">
        <f>ROUNDUP(G11/60,0)</f>
        <v>67</v>
      </c>
      <c r="H15" s="105" t="s">
        <v>44</v>
      </c>
      <c r="I15" s="100"/>
      <c r="J15" s="100"/>
      <c r="K15" s="100"/>
      <c r="L15" s="69"/>
      <c r="M15" s="70">
        <v>32</v>
      </c>
      <c r="N15" s="105" t="s">
        <v>258</v>
      </c>
      <c r="O15" s="100"/>
      <c r="P15" s="100"/>
      <c r="Q15" s="100"/>
      <c r="R15" s="68" t="s">
        <v>41</v>
      </c>
      <c r="S15" s="66">
        <f>ROUNDUP(S11/60,0)</f>
        <v>64</v>
      </c>
      <c r="T15" s="105" t="s">
        <v>44</v>
      </c>
      <c r="U15" s="100"/>
      <c r="V15" s="100"/>
      <c r="W15" s="100"/>
      <c r="X15" s="69"/>
    </row>
    <row r="16" spans="1:24" ht="15">
      <c r="A16" s="70">
        <v>30</v>
      </c>
      <c r="B16" s="105" t="s">
        <v>47</v>
      </c>
      <c r="C16" s="100"/>
      <c r="D16" s="100"/>
      <c r="E16" s="100"/>
      <c r="F16" s="68" t="s">
        <v>41</v>
      </c>
      <c r="G16" s="66">
        <v>36</v>
      </c>
      <c r="H16" s="105" t="s">
        <v>44</v>
      </c>
      <c r="I16" s="100"/>
      <c r="J16" s="100"/>
      <c r="K16" s="100"/>
      <c r="L16" s="69"/>
      <c r="M16" s="70">
        <v>30</v>
      </c>
      <c r="N16" s="105" t="s">
        <v>47</v>
      </c>
      <c r="O16" s="100"/>
      <c r="P16" s="100"/>
      <c r="Q16" s="100"/>
      <c r="R16" s="68" t="s">
        <v>41</v>
      </c>
      <c r="S16" s="66">
        <v>45</v>
      </c>
      <c r="T16" s="105" t="s">
        <v>44</v>
      </c>
      <c r="U16" s="100"/>
      <c r="V16" s="100"/>
      <c r="W16" s="100"/>
      <c r="X16" s="69"/>
    </row>
    <row r="17" spans="1:24">
      <c r="A17" s="147" t="s">
        <v>159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48"/>
      <c r="M17" s="147" t="s">
        <v>16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48"/>
    </row>
    <row r="18" spans="1:24">
      <c r="A18" s="147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48"/>
      <c r="M18" s="147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48"/>
    </row>
    <row r="19" spans="1:24">
      <c r="A19" s="147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48"/>
      <c r="M19" s="147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48"/>
    </row>
    <row r="20" spans="1:24">
      <c r="A20" s="147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48"/>
      <c r="M20" s="147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48"/>
    </row>
    <row r="21" spans="1:24">
      <c r="A21" s="147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48"/>
      <c r="M21" s="147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48"/>
    </row>
    <row r="22" spans="1:24">
      <c r="A22" s="147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48"/>
      <c r="M22" s="147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48"/>
    </row>
    <row r="23" spans="1:24" ht="38" customHeight="1" thickBot="1">
      <c r="A23" s="149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1"/>
      <c r="M23" s="149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1"/>
    </row>
    <row r="24" spans="1:24" ht="15" thickBot="1"/>
    <row r="25" spans="1:24" ht="15" thickTop="1">
      <c r="A25" s="154" t="s">
        <v>0</v>
      </c>
      <c r="B25" s="141"/>
      <c r="C25" s="142" t="s">
        <v>254</v>
      </c>
      <c r="D25" s="143"/>
      <c r="E25" s="143"/>
      <c r="F25" s="143"/>
      <c r="G25" s="118" t="s">
        <v>1</v>
      </c>
      <c r="H25" s="119"/>
      <c r="I25" s="118" t="s">
        <v>238</v>
      </c>
      <c r="J25" s="120"/>
      <c r="K25" s="120"/>
      <c r="L25" s="121"/>
      <c r="M25" s="154" t="s">
        <v>0</v>
      </c>
      <c r="N25" s="141"/>
      <c r="O25" s="142" t="s">
        <v>254</v>
      </c>
      <c r="P25" s="143"/>
      <c r="Q25" s="143"/>
      <c r="R25" s="143"/>
      <c r="S25" s="118" t="s">
        <v>1</v>
      </c>
      <c r="T25" s="119"/>
      <c r="U25" s="118" t="s">
        <v>238</v>
      </c>
      <c r="V25" s="120"/>
      <c r="W25" s="120"/>
      <c r="X25" s="121"/>
    </row>
    <row r="26" spans="1:24" ht="21.5" customHeight="1">
      <c r="A26" s="61" t="s">
        <v>2</v>
      </c>
      <c r="B26" s="107" t="s">
        <v>240</v>
      </c>
      <c r="C26" s="125"/>
      <c r="D26" s="126" t="s">
        <v>3</v>
      </c>
      <c r="E26" s="125"/>
      <c r="F26" s="100" t="s">
        <v>155</v>
      </c>
      <c r="G26" s="100"/>
      <c r="H26" s="100"/>
      <c r="I26" s="126" t="s">
        <v>4</v>
      </c>
      <c r="J26" s="125"/>
      <c r="K26" s="100">
        <v>1</v>
      </c>
      <c r="L26" s="127"/>
      <c r="M26" s="61" t="s">
        <v>2</v>
      </c>
      <c r="N26" s="107" t="s">
        <v>241</v>
      </c>
      <c r="O26" s="125"/>
      <c r="P26" s="126" t="s">
        <v>3</v>
      </c>
      <c r="Q26" s="125"/>
      <c r="R26" s="100" t="s">
        <v>154</v>
      </c>
      <c r="S26" s="100"/>
      <c r="T26" s="100"/>
      <c r="U26" s="126" t="s">
        <v>4</v>
      </c>
      <c r="V26" s="125"/>
      <c r="W26" s="100">
        <v>1</v>
      </c>
      <c r="X26" s="127"/>
    </row>
    <row r="27" spans="1:24" ht="21" customHeight="1">
      <c r="A27" s="130" t="s">
        <v>5</v>
      </c>
      <c r="B27" s="108"/>
      <c r="C27" s="125"/>
      <c r="D27" s="107" t="s">
        <v>26</v>
      </c>
      <c r="E27" s="108"/>
      <c r="F27" s="108"/>
      <c r="G27" s="108"/>
      <c r="H27" s="108"/>
      <c r="I27" s="108"/>
      <c r="J27" s="108"/>
      <c r="K27" s="108"/>
      <c r="L27" s="109"/>
      <c r="M27" s="130" t="s">
        <v>5</v>
      </c>
      <c r="N27" s="108"/>
      <c r="O27" s="125"/>
      <c r="P27" s="107" t="s">
        <v>26</v>
      </c>
      <c r="Q27" s="108"/>
      <c r="R27" s="108"/>
      <c r="S27" s="108"/>
      <c r="T27" s="108"/>
      <c r="U27" s="108"/>
      <c r="V27" s="108"/>
      <c r="W27" s="108"/>
      <c r="X27" s="109"/>
    </row>
    <row r="28" spans="1:24" ht="144" customHeight="1">
      <c r="A28" s="110" t="s">
        <v>6</v>
      </c>
      <c r="B28" s="111"/>
      <c r="C28" s="112"/>
      <c r="D28" s="103" t="s">
        <v>264</v>
      </c>
      <c r="E28" s="128"/>
      <c r="F28" s="128"/>
      <c r="G28" s="128"/>
      <c r="H28" s="128"/>
      <c r="I28" s="128"/>
      <c r="J28" s="128"/>
      <c r="K28" s="128"/>
      <c r="L28" s="129"/>
      <c r="M28" s="110" t="s">
        <v>6</v>
      </c>
      <c r="N28" s="111"/>
      <c r="O28" s="112"/>
      <c r="P28" s="103" t="s">
        <v>264</v>
      </c>
      <c r="Q28" s="128"/>
      <c r="R28" s="128"/>
      <c r="S28" s="128"/>
      <c r="T28" s="128"/>
      <c r="U28" s="128"/>
      <c r="V28" s="128"/>
      <c r="W28" s="128"/>
      <c r="X28" s="129"/>
    </row>
    <row r="29" spans="1:24" ht="100.25" customHeight="1">
      <c r="A29" s="113"/>
      <c r="B29" s="114"/>
      <c r="C29" s="115"/>
      <c r="D29" s="103" t="s">
        <v>263</v>
      </c>
      <c r="E29" s="128"/>
      <c r="F29" s="128"/>
      <c r="G29" s="128"/>
      <c r="H29" s="128"/>
      <c r="I29" s="128"/>
      <c r="J29" s="128"/>
      <c r="K29" s="128"/>
      <c r="L29" s="129"/>
      <c r="M29" s="113"/>
      <c r="N29" s="114"/>
      <c r="O29" s="115"/>
      <c r="P29" s="103" t="s">
        <v>263</v>
      </c>
      <c r="Q29" s="128"/>
      <c r="R29" s="128"/>
      <c r="S29" s="128"/>
      <c r="T29" s="128"/>
      <c r="U29" s="128"/>
      <c r="V29" s="128"/>
      <c r="W29" s="128"/>
      <c r="X29" s="129"/>
    </row>
    <row r="30" spans="1:24" ht="15">
      <c r="A30" s="116" t="s">
        <v>7</v>
      </c>
      <c r="B30" s="117" t="s">
        <v>8</v>
      </c>
      <c r="C30" s="117"/>
      <c r="D30" s="117"/>
      <c r="E30" s="117"/>
      <c r="F30" s="117" t="s">
        <v>43</v>
      </c>
      <c r="G30" s="117" t="s">
        <v>10</v>
      </c>
      <c r="H30" s="117"/>
      <c r="I30" s="117"/>
      <c r="J30" s="117"/>
      <c r="K30" s="117"/>
      <c r="L30" s="62" t="s">
        <v>11</v>
      </c>
      <c r="M30" s="116" t="s">
        <v>7</v>
      </c>
      <c r="N30" s="117" t="s">
        <v>8</v>
      </c>
      <c r="O30" s="117"/>
      <c r="P30" s="117"/>
      <c r="Q30" s="117"/>
      <c r="R30" s="117" t="s">
        <v>43</v>
      </c>
      <c r="S30" s="117" t="s">
        <v>10</v>
      </c>
      <c r="T30" s="117"/>
      <c r="U30" s="117"/>
      <c r="V30" s="117"/>
      <c r="W30" s="117"/>
      <c r="X30" s="62" t="s">
        <v>11</v>
      </c>
    </row>
    <row r="31" spans="1:24" ht="15">
      <c r="A31" s="116"/>
      <c r="B31" s="117"/>
      <c r="C31" s="117"/>
      <c r="D31" s="117"/>
      <c r="E31" s="117"/>
      <c r="F31" s="117"/>
      <c r="G31" s="68" t="s">
        <v>12</v>
      </c>
      <c r="H31" s="105" t="s">
        <v>13</v>
      </c>
      <c r="I31" s="105"/>
      <c r="J31" s="105" t="s">
        <v>17</v>
      </c>
      <c r="K31" s="105"/>
      <c r="L31" s="69"/>
      <c r="M31" s="116"/>
      <c r="N31" s="117"/>
      <c r="O31" s="117"/>
      <c r="P31" s="117"/>
      <c r="Q31" s="117"/>
      <c r="R31" s="117"/>
      <c r="S31" s="68" t="s">
        <v>12</v>
      </c>
      <c r="T31" s="105" t="s">
        <v>13</v>
      </c>
      <c r="U31" s="105"/>
      <c r="V31" s="105" t="s">
        <v>17</v>
      </c>
      <c r="W31" s="105"/>
      <c r="X31" s="69"/>
    </row>
    <row r="32" spans="1:24" ht="15" customHeight="1">
      <c r="A32" s="70">
        <v>24</v>
      </c>
      <c r="B32" s="95">
        <v>1</v>
      </c>
      <c r="C32" s="96"/>
      <c r="D32" s="96"/>
      <c r="E32" s="97"/>
      <c r="F32" s="71" t="s">
        <v>15</v>
      </c>
      <c r="G32" s="66">
        <v>1800</v>
      </c>
      <c r="H32" s="126">
        <v>1800</v>
      </c>
      <c r="I32" s="125">
        <v>600</v>
      </c>
      <c r="J32" s="153">
        <v>0</v>
      </c>
      <c r="K32" s="153"/>
      <c r="L32" s="69"/>
      <c r="M32" s="70">
        <v>24</v>
      </c>
      <c r="N32" s="95">
        <v>1</v>
      </c>
      <c r="O32" s="96"/>
      <c r="P32" s="96"/>
      <c r="Q32" s="97"/>
      <c r="R32" s="71" t="s">
        <v>15</v>
      </c>
      <c r="S32" s="66">
        <v>2000</v>
      </c>
      <c r="T32" s="126">
        <v>2000</v>
      </c>
      <c r="U32" s="125">
        <v>500</v>
      </c>
      <c r="V32" s="153">
        <v>0</v>
      </c>
      <c r="W32" s="153"/>
      <c r="X32" s="69"/>
    </row>
    <row r="33" spans="1:24" ht="15" customHeight="1">
      <c r="A33" s="70">
        <v>25</v>
      </c>
      <c r="B33" s="95">
        <v>2</v>
      </c>
      <c r="C33" s="96"/>
      <c r="D33" s="96"/>
      <c r="E33" s="97"/>
      <c r="F33" s="71" t="s">
        <v>15</v>
      </c>
      <c r="G33" s="66">
        <v>8000</v>
      </c>
      <c r="H33" s="126">
        <v>8000</v>
      </c>
      <c r="I33" s="125">
        <v>600</v>
      </c>
      <c r="J33" s="153">
        <v>0</v>
      </c>
      <c r="K33" s="153"/>
      <c r="L33" s="69"/>
      <c r="M33" s="70">
        <v>25</v>
      </c>
      <c r="N33" s="95">
        <v>2</v>
      </c>
      <c r="O33" s="96"/>
      <c r="P33" s="96"/>
      <c r="Q33" s="97"/>
      <c r="R33" s="71" t="s">
        <v>15</v>
      </c>
      <c r="S33" s="66">
        <v>8500</v>
      </c>
      <c r="T33" s="126">
        <v>8500</v>
      </c>
      <c r="U33" s="125">
        <v>500</v>
      </c>
      <c r="V33" s="153">
        <v>0</v>
      </c>
      <c r="W33" s="153"/>
      <c r="X33" s="69"/>
    </row>
    <row r="34" spans="1:24" ht="15" customHeight="1">
      <c r="A34" s="70">
        <v>26</v>
      </c>
      <c r="B34" s="95">
        <v>3</v>
      </c>
      <c r="C34" s="96"/>
      <c r="D34" s="96"/>
      <c r="E34" s="97"/>
      <c r="F34" s="71" t="s">
        <v>15</v>
      </c>
      <c r="G34" s="66">
        <v>13000</v>
      </c>
      <c r="H34" s="126">
        <v>13000</v>
      </c>
      <c r="I34" s="125">
        <v>600</v>
      </c>
      <c r="J34" s="153">
        <v>0</v>
      </c>
      <c r="K34" s="153"/>
      <c r="L34" s="69"/>
      <c r="M34" s="70">
        <v>26</v>
      </c>
      <c r="N34" s="95">
        <v>3</v>
      </c>
      <c r="O34" s="96"/>
      <c r="P34" s="96"/>
      <c r="Q34" s="97"/>
      <c r="R34" s="71" t="s">
        <v>15</v>
      </c>
      <c r="S34" s="66">
        <v>14000</v>
      </c>
      <c r="T34" s="126">
        <v>14000</v>
      </c>
      <c r="U34" s="125">
        <v>500</v>
      </c>
      <c r="V34" s="153">
        <v>0</v>
      </c>
      <c r="W34" s="153"/>
      <c r="X34" s="69"/>
    </row>
    <row r="35" spans="1:24" ht="15" customHeight="1">
      <c r="A35" s="70">
        <v>27</v>
      </c>
      <c r="B35" s="95">
        <v>4</v>
      </c>
      <c r="C35" s="96"/>
      <c r="D35" s="96"/>
      <c r="E35" s="97"/>
      <c r="F35" s="71" t="s">
        <v>15</v>
      </c>
      <c r="G35" s="66">
        <v>4000</v>
      </c>
      <c r="H35" s="126">
        <v>4000</v>
      </c>
      <c r="I35" s="125">
        <v>600</v>
      </c>
      <c r="J35" s="153">
        <v>0</v>
      </c>
      <c r="K35" s="153"/>
      <c r="L35" s="69"/>
      <c r="M35" s="70">
        <v>27</v>
      </c>
      <c r="N35" s="95">
        <v>4</v>
      </c>
      <c r="O35" s="96"/>
      <c r="P35" s="96"/>
      <c r="Q35" s="97"/>
      <c r="R35" s="71" t="s">
        <v>15</v>
      </c>
      <c r="S35" s="66">
        <v>3500</v>
      </c>
      <c r="T35" s="126">
        <v>3500</v>
      </c>
      <c r="U35" s="125">
        <v>500</v>
      </c>
      <c r="V35" s="153">
        <v>0</v>
      </c>
      <c r="W35" s="153"/>
      <c r="X35" s="69"/>
    </row>
    <row r="36" spans="1:24" ht="15" customHeight="1">
      <c r="A36" s="70">
        <v>30</v>
      </c>
      <c r="B36" s="102" t="s">
        <v>255</v>
      </c>
      <c r="C36" s="152"/>
      <c r="D36" s="152"/>
      <c r="E36" s="106"/>
      <c r="F36" s="68" t="s">
        <v>41</v>
      </c>
      <c r="G36" s="66">
        <f>ROUNDUP(G32/40,0)</f>
        <v>45</v>
      </c>
      <c r="H36" s="105" t="s">
        <v>44</v>
      </c>
      <c r="I36" s="100"/>
      <c r="J36" s="100"/>
      <c r="K36" s="100"/>
      <c r="L36" s="69"/>
      <c r="M36" s="70">
        <v>30</v>
      </c>
      <c r="N36" s="102" t="s">
        <v>255</v>
      </c>
      <c r="O36" s="152"/>
      <c r="P36" s="152"/>
      <c r="Q36" s="106"/>
      <c r="R36" s="68" t="s">
        <v>41</v>
      </c>
      <c r="S36" s="66">
        <f>ROUNDUP(S32/40,0)</f>
        <v>50</v>
      </c>
      <c r="T36" s="105" t="s">
        <v>44</v>
      </c>
      <c r="U36" s="100"/>
      <c r="V36" s="100"/>
      <c r="W36" s="100"/>
      <c r="X36" s="69"/>
    </row>
    <row r="37" spans="1:24" ht="15" customHeight="1">
      <c r="A37" s="70">
        <v>31</v>
      </c>
      <c r="B37" s="102" t="s">
        <v>256</v>
      </c>
      <c r="C37" s="152"/>
      <c r="D37" s="152"/>
      <c r="E37" s="106"/>
      <c r="F37" s="68" t="s">
        <v>41</v>
      </c>
      <c r="G37" s="66">
        <f>ROUNDUP(G33/60,0)</f>
        <v>134</v>
      </c>
      <c r="H37" s="105" t="s">
        <v>44</v>
      </c>
      <c r="I37" s="100"/>
      <c r="J37" s="100"/>
      <c r="K37" s="100"/>
      <c r="L37" s="69"/>
      <c r="M37" s="70">
        <v>31</v>
      </c>
      <c r="N37" s="102" t="s">
        <v>256</v>
      </c>
      <c r="O37" s="152"/>
      <c r="P37" s="152"/>
      <c r="Q37" s="106"/>
      <c r="R37" s="68" t="s">
        <v>41</v>
      </c>
      <c r="S37" s="66">
        <f>ROUNDUP(S33/60,0)</f>
        <v>142</v>
      </c>
      <c r="T37" s="105" t="s">
        <v>44</v>
      </c>
      <c r="U37" s="100"/>
      <c r="V37" s="100"/>
      <c r="W37" s="100"/>
      <c r="X37" s="69"/>
    </row>
    <row r="38" spans="1:24" ht="15" customHeight="1">
      <c r="A38" s="70">
        <v>31</v>
      </c>
      <c r="B38" s="102" t="s">
        <v>257</v>
      </c>
      <c r="C38" s="152"/>
      <c r="D38" s="152"/>
      <c r="E38" s="106"/>
      <c r="F38" s="68" t="s">
        <v>41</v>
      </c>
      <c r="G38" s="66">
        <f>ROUNDUP(G34/60,0)</f>
        <v>217</v>
      </c>
      <c r="H38" s="105" t="s">
        <v>44</v>
      </c>
      <c r="I38" s="100"/>
      <c r="J38" s="100"/>
      <c r="K38" s="100"/>
      <c r="L38" s="69"/>
      <c r="M38" s="70">
        <v>31</v>
      </c>
      <c r="N38" s="102" t="s">
        <v>257</v>
      </c>
      <c r="O38" s="152"/>
      <c r="P38" s="152"/>
      <c r="Q38" s="106"/>
      <c r="R38" s="68" t="s">
        <v>41</v>
      </c>
      <c r="S38" s="66">
        <f>ROUNDUP(S34/60,0)</f>
        <v>234</v>
      </c>
      <c r="T38" s="105" t="s">
        <v>44</v>
      </c>
      <c r="U38" s="100"/>
      <c r="V38" s="100"/>
      <c r="W38" s="100"/>
      <c r="X38" s="69"/>
    </row>
    <row r="39" spans="1:24" ht="15" customHeight="1">
      <c r="A39" s="70">
        <v>32</v>
      </c>
      <c r="B39" s="105" t="s">
        <v>258</v>
      </c>
      <c r="C39" s="100"/>
      <c r="D39" s="100"/>
      <c r="E39" s="100"/>
      <c r="F39" s="68" t="s">
        <v>41</v>
      </c>
      <c r="G39" s="66">
        <f>ROUNDUP(G35/60,0)</f>
        <v>67</v>
      </c>
      <c r="H39" s="105" t="s">
        <v>44</v>
      </c>
      <c r="I39" s="100"/>
      <c r="J39" s="100"/>
      <c r="K39" s="100"/>
      <c r="L39" s="69"/>
      <c r="M39" s="70">
        <v>32</v>
      </c>
      <c r="N39" s="105" t="s">
        <v>258</v>
      </c>
      <c r="O39" s="100"/>
      <c r="P39" s="100"/>
      <c r="Q39" s="100"/>
      <c r="R39" s="68" t="s">
        <v>41</v>
      </c>
      <c r="S39" s="66">
        <f>ROUNDUP(S35/60,0)</f>
        <v>59</v>
      </c>
      <c r="T39" s="105" t="s">
        <v>44</v>
      </c>
      <c r="U39" s="100"/>
      <c r="V39" s="100"/>
      <c r="W39" s="100"/>
      <c r="X39" s="69"/>
    </row>
    <row r="40" spans="1:24" ht="15" customHeight="1">
      <c r="A40" s="70">
        <v>31</v>
      </c>
      <c r="B40" s="105" t="s">
        <v>47</v>
      </c>
      <c r="C40" s="100"/>
      <c r="D40" s="100"/>
      <c r="E40" s="100"/>
      <c r="F40" s="68" t="s">
        <v>41</v>
      </c>
      <c r="G40" s="66">
        <v>40</v>
      </c>
      <c r="H40" s="105" t="s">
        <v>44</v>
      </c>
      <c r="I40" s="100"/>
      <c r="J40" s="100"/>
      <c r="K40" s="100"/>
      <c r="L40" s="69"/>
      <c r="M40" s="70">
        <v>31</v>
      </c>
      <c r="N40" s="105" t="s">
        <v>47</v>
      </c>
      <c r="O40" s="100"/>
      <c r="P40" s="100"/>
      <c r="Q40" s="100"/>
      <c r="R40" s="68" t="s">
        <v>41</v>
      </c>
      <c r="S40" s="66">
        <v>35</v>
      </c>
      <c r="T40" s="105" t="s">
        <v>44</v>
      </c>
      <c r="U40" s="100"/>
      <c r="V40" s="100"/>
      <c r="W40" s="100"/>
      <c r="X40" s="69"/>
    </row>
    <row r="41" spans="1:24">
      <c r="A41" s="147" t="s">
        <v>16</v>
      </c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48"/>
      <c r="M41" s="147" t="s">
        <v>16</v>
      </c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48"/>
    </row>
    <row r="42" spans="1:24">
      <c r="A42" s="147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48"/>
      <c r="M42" s="147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48"/>
    </row>
    <row r="43" spans="1:24">
      <c r="A43" s="147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48"/>
      <c r="M43" s="147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48"/>
    </row>
    <row r="44" spans="1:24">
      <c r="A44" s="147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48"/>
      <c r="M44" s="147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48"/>
    </row>
    <row r="45" spans="1:24">
      <c r="A45" s="147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48"/>
      <c r="M45" s="147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48"/>
    </row>
    <row r="46" spans="1:24">
      <c r="A46" s="147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48"/>
      <c r="M46" s="147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48"/>
    </row>
    <row r="47" spans="1:24" ht="57.5" customHeight="1" thickBot="1">
      <c r="A47" s="149"/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1"/>
      <c r="M47" s="149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1"/>
    </row>
  </sheetData>
  <mergeCells count="192">
    <mergeCell ref="V15:W15"/>
    <mergeCell ref="B38:E38"/>
    <mergeCell ref="H38:I38"/>
    <mergeCell ref="J38:K38"/>
    <mergeCell ref="N38:Q38"/>
    <mergeCell ref="T38:U38"/>
    <mergeCell ref="V38:W38"/>
    <mergeCell ref="V12:W12"/>
    <mergeCell ref="B13:E13"/>
    <mergeCell ref="H13:I13"/>
    <mergeCell ref="J13:K13"/>
    <mergeCell ref="N13:Q13"/>
    <mergeCell ref="T13:U13"/>
    <mergeCell ref="V13:W13"/>
    <mergeCell ref="B14:E14"/>
    <mergeCell ref="H14:I14"/>
    <mergeCell ref="J14:K14"/>
    <mergeCell ref="N14:Q14"/>
    <mergeCell ref="T14:U14"/>
    <mergeCell ref="V14:W14"/>
    <mergeCell ref="B32:E32"/>
    <mergeCell ref="B33:E33"/>
    <mergeCell ref="B34:E34"/>
    <mergeCell ref="B35:E35"/>
    <mergeCell ref="B12:E12"/>
    <mergeCell ref="H12:I12"/>
    <mergeCell ref="J12:K12"/>
    <mergeCell ref="N12:Q12"/>
    <mergeCell ref="T12:U12"/>
    <mergeCell ref="B15:E15"/>
    <mergeCell ref="H15:I15"/>
    <mergeCell ref="J15:K15"/>
    <mergeCell ref="N15:Q15"/>
    <mergeCell ref="T15:U15"/>
    <mergeCell ref="H33:I33"/>
    <mergeCell ref="J33:K33"/>
    <mergeCell ref="T33:U33"/>
    <mergeCell ref="V33:W33"/>
    <mergeCell ref="H34:I34"/>
    <mergeCell ref="J34:K34"/>
    <mergeCell ref="T34:U34"/>
    <mergeCell ref="V34:W34"/>
    <mergeCell ref="H32:I32"/>
    <mergeCell ref="J32:K32"/>
    <mergeCell ref="T32:U32"/>
    <mergeCell ref="V32:W32"/>
    <mergeCell ref="N33:Q33"/>
    <mergeCell ref="N34:Q34"/>
    <mergeCell ref="H39:I39"/>
    <mergeCell ref="M41:X47"/>
    <mergeCell ref="N40:Q40"/>
    <mergeCell ref="T40:U40"/>
    <mergeCell ref="V40:W40"/>
    <mergeCell ref="H35:I35"/>
    <mergeCell ref="J35:K35"/>
    <mergeCell ref="T35:U35"/>
    <mergeCell ref="V35:W35"/>
    <mergeCell ref="N35:Q35"/>
    <mergeCell ref="A41:L47"/>
    <mergeCell ref="B40:E40"/>
    <mergeCell ref="H40:I40"/>
    <mergeCell ref="J40:K40"/>
    <mergeCell ref="N37:Q37"/>
    <mergeCell ref="T37:U37"/>
    <mergeCell ref="V37:W37"/>
    <mergeCell ref="B37:E37"/>
    <mergeCell ref="H37:I37"/>
    <mergeCell ref="J37:K37"/>
    <mergeCell ref="B39:E39"/>
    <mergeCell ref="J39:K39"/>
    <mergeCell ref="N39:Q39"/>
    <mergeCell ref="T39:U39"/>
    <mergeCell ref="P28:X28"/>
    <mergeCell ref="P29:X29"/>
    <mergeCell ref="M30:M31"/>
    <mergeCell ref="N30:Q31"/>
    <mergeCell ref="R30:R31"/>
    <mergeCell ref="S30:W30"/>
    <mergeCell ref="T31:U31"/>
    <mergeCell ref="V31:W31"/>
    <mergeCell ref="M28:O29"/>
    <mergeCell ref="U25:X25"/>
    <mergeCell ref="U26:V26"/>
    <mergeCell ref="W26:X26"/>
    <mergeCell ref="A17:L23"/>
    <mergeCell ref="M25:N25"/>
    <mergeCell ref="O25:R25"/>
    <mergeCell ref="N26:O26"/>
    <mergeCell ref="P26:Q26"/>
    <mergeCell ref="R26:T26"/>
    <mergeCell ref="C25:F25"/>
    <mergeCell ref="G25:H25"/>
    <mergeCell ref="I25:L25"/>
    <mergeCell ref="B26:C26"/>
    <mergeCell ref="D26:E26"/>
    <mergeCell ref="F26:H26"/>
    <mergeCell ref="I26:J26"/>
    <mergeCell ref="K26:L26"/>
    <mergeCell ref="S25:T25"/>
    <mergeCell ref="U2:V2"/>
    <mergeCell ref="W2:X2"/>
    <mergeCell ref="D4:L4"/>
    <mergeCell ref="P4:X4"/>
    <mergeCell ref="M3:O3"/>
    <mergeCell ref="P3:X3"/>
    <mergeCell ref="A3:C3"/>
    <mergeCell ref="D3:L3"/>
    <mergeCell ref="S1:T1"/>
    <mergeCell ref="U1:X1"/>
    <mergeCell ref="B2:C2"/>
    <mergeCell ref="D2:E2"/>
    <mergeCell ref="F2:H2"/>
    <mergeCell ref="I2:J2"/>
    <mergeCell ref="K2:L2"/>
    <mergeCell ref="N2:O2"/>
    <mergeCell ref="P2:Q2"/>
    <mergeCell ref="R2:T2"/>
    <mergeCell ref="A1:B1"/>
    <mergeCell ref="C1:F1"/>
    <mergeCell ref="G1:H1"/>
    <mergeCell ref="I1:L1"/>
    <mergeCell ref="M1:N1"/>
    <mergeCell ref="O1:R1"/>
    <mergeCell ref="J7:K7"/>
    <mergeCell ref="T7:U7"/>
    <mergeCell ref="V7:W7"/>
    <mergeCell ref="B8:E8"/>
    <mergeCell ref="B9:E9"/>
    <mergeCell ref="B10:E10"/>
    <mergeCell ref="D5:L5"/>
    <mergeCell ref="P5:X5"/>
    <mergeCell ref="A6:A7"/>
    <mergeCell ref="B6:E7"/>
    <mergeCell ref="F6:F7"/>
    <mergeCell ref="G6:K6"/>
    <mergeCell ref="M6:M7"/>
    <mergeCell ref="N6:Q7"/>
    <mergeCell ref="A4:C5"/>
    <mergeCell ref="M4:O5"/>
    <mergeCell ref="R6:R7"/>
    <mergeCell ref="S6:W6"/>
    <mergeCell ref="H7:I7"/>
    <mergeCell ref="V8:W8"/>
    <mergeCell ref="H9:I9"/>
    <mergeCell ref="J9:K9"/>
    <mergeCell ref="T9:U9"/>
    <mergeCell ref="H8:I8"/>
    <mergeCell ref="A30:A31"/>
    <mergeCell ref="B30:E31"/>
    <mergeCell ref="F30:F31"/>
    <mergeCell ref="G30:K30"/>
    <mergeCell ref="A27:C27"/>
    <mergeCell ref="D27:L27"/>
    <mergeCell ref="D28:L28"/>
    <mergeCell ref="H31:I31"/>
    <mergeCell ref="J31:K31"/>
    <mergeCell ref="A28:C29"/>
    <mergeCell ref="D29:L29"/>
    <mergeCell ref="J8:K8"/>
    <mergeCell ref="V9:W9"/>
    <mergeCell ref="T8:U8"/>
    <mergeCell ref="H10:I10"/>
    <mergeCell ref="J10:K10"/>
    <mergeCell ref="T10:U10"/>
    <mergeCell ref="V10:W10"/>
    <mergeCell ref="N8:Q8"/>
    <mergeCell ref="N9:Q9"/>
    <mergeCell ref="N10:Q10"/>
    <mergeCell ref="V39:W39"/>
    <mergeCell ref="B36:E36"/>
    <mergeCell ref="H36:I36"/>
    <mergeCell ref="J36:K36"/>
    <mergeCell ref="N36:Q36"/>
    <mergeCell ref="T36:U36"/>
    <mergeCell ref="V36:W36"/>
    <mergeCell ref="H11:I11"/>
    <mergeCell ref="J11:K11"/>
    <mergeCell ref="T11:U11"/>
    <mergeCell ref="M27:O27"/>
    <mergeCell ref="P27:X27"/>
    <mergeCell ref="N32:Q32"/>
    <mergeCell ref="N16:Q16"/>
    <mergeCell ref="T16:U16"/>
    <mergeCell ref="V16:W16"/>
    <mergeCell ref="B16:E16"/>
    <mergeCell ref="H16:I16"/>
    <mergeCell ref="J16:K16"/>
    <mergeCell ref="V11:W11"/>
    <mergeCell ref="B11:E11"/>
    <mergeCell ref="N11:Q11"/>
    <mergeCell ref="M17:X23"/>
    <mergeCell ref="A25:B25"/>
  </mergeCells>
  <phoneticPr fontId="2" type="noConversion"/>
  <pageMargins left="0.25" right="0.25" top="0.75" bottom="0.75" header="0.3" footer="0.3"/>
  <pageSetup paperSize="9" orientation="portrait" r:id="rId1"/>
  <headerFooter>
    <oddHeader>&amp;C&amp;16规模及工作量估计表（代码）</oddHeader>
  </headerFooter>
  <rowBreaks count="1" manualBreakCount="1">
    <brk id="2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9"/>
  <sheetViews>
    <sheetView view="pageLayout" topLeftCell="A39" zoomScale="115" zoomScaleNormal="100" zoomScalePageLayoutView="115" workbookViewId="0">
      <selection activeCell="J67" sqref="J67"/>
    </sheetView>
  </sheetViews>
  <sheetFormatPr baseColWidth="10" defaultColWidth="8.83203125" defaultRowHeight="14"/>
  <cols>
    <col min="3" max="3" width="3.1640625" customWidth="1"/>
    <col min="4" max="4" width="5.83203125" customWidth="1"/>
    <col min="5" max="5" width="7.33203125" customWidth="1"/>
    <col min="7" max="7" width="2.6640625" customWidth="1"/>
    <col min="8" max="8" width="4" customWidth="1"/>
    <col min="9" max="9" width="3.5" customWidth="1"/>
    <col min="10" max="10" width="9" customWidth="1"/>
    <col min="11" max="11" width="7.1640625" customWidth="1"/>
    <col min="12" max="13" width="11" customWidth="1"/>
  </cols>
  <sheetData>
    <row r="1" spans="1:14" ht="31.25" customHeight="1" thickTop="1">
      <c r="A1" s="1" t="s">
        <v>0</v>
      </c>
      <c r="B1" s="169" t="s">
        <v>254</v>
      </c>
      <c r="C1" s="170"/>
      <c r="D1" s="170"/>
      <c r="E1" s="170"/>
      <c r="F1" s="170"/>
      <c r="G1" s="170"/>
      <c r="H1" s="171"/>
      <c r="I1" s="173" t="s">
        <v>1</v>
      </c>
      <c r="J1" s="173"/>
      <c r="K1" s="143" t="s">
        <v>189</v>
      </c>
      <c r="L1" s="143"/>
      <c r="M1" s="174"/>
    </row>
    <row r="2" spans="1:14" ht="27.5" customHeight="1">
      <c r="A2" s="2" t="s">
        <v>2</v>
      </c>
      <c r="B2" s="164" t="str">
        <f>文档规模及工作量估计ok!B2&amp;文档规模及工作量估计ok!N2&amp;文档规模及工作量估计ok!B44&amp;文档规模及工作量估计ok!N44</f>
        <v>穆笑岩高蕾 张晓丰方小娟</v>
      </c>
      <c r="C2" s="183"/>
      <c r="D2" s="183"/>
      <c r="E2" s="165"/>
      <c r="F2" s="3" t="s">
        <v>3</v>
      </c>
      <c r="G2" s="175" t="s">
        <v>158</v>
      </c>
      <c r="H2" s="175"/>
      <c r="I2" s="175"/>
      <c r="J2" s="175"/>
      <c r="K2" s="175"/>
      <c r="L2" s="72" t="s">
        <v>190</v>
      </c>
      <c r="M2" s="86"/>
    </row>
    <row r="3" spans="1:14" ht="20" customHeight="1">
      <c r="A3" s="166" t="s">
        <v>5</v>
      </c>
      <c r="B3" s="167"/>
      <c r="C3" s="167"/>
      <c r="D3" s="100" t="str">
        <f>文档规模及工作量估计ok!D45</f>
        <v>专家估计法</v>
      </c>
      <c r="E3" s="100"/>
      <c r="F3" s="100"/>
      <c r="G3" s="100"/>
      <c r="H3" s="100"/>
      <c r="I3" s="100"/>
      <c r="J3" s="100"/>
      <c r="K3" s="100"/>
      <c r="L3" s="100"/>
      <c r="M3" s="172"/>
    </row>
    <row r="4" spans="1:14" ht="102" customHeight="1">
      <c r="A4" s="176" t="s">
        <v>6</v>
      </c>
      <c r="B4" s="177"/>
      <c r="C4" s="177"/>
      <c r="D4" s="178"/>
      <c r="E4" s="100" t="str">
        <f>文档规模及工作量估计ok!D46</f>
        <v>文档规模估计基于：
1）文档假设采用公司模板编写，页面设置为A4，字号为小四；
2）出所测试文档假设按照配置项测试文档模板编写；
3）文档规模包含封面在内的所有页；
4）参考软件研制任务书的功能数量；
5）参考XXXXXX项目；
6）专家法估计偏差阈值按20%考虑。</v>
      </c>
      <c r="F4" s="100"/>
      <c r="G4" s="100"/>
      <c r="H4" s="100"/>
      <c r="I4" s="100"/>
      <c r="J4" s="100"/>
      <c r="K4" s="100"/>
      <c r="L4" s="100"/>
      <c r="M4" s="172"/>
    </row>
    <row r="5" spans="1:14" ht="101" customHeight="1">
      <c r="A5" s="179"/>
      <c r="B5" s="180"/>
      <c r="C5" s="180"/>
      <c r="D5" s="181"/>
      <c r="E5" s="100" t="str">
        <f>文档规模及工作量估计ok!D47</f>
        <v>文档编写工作量和合格性测试工作量基于：
1）文档编写人员均有同类文档的编写经验，掌握438C军用软件文档编写要求；
2）参考文档估计规模；
3）参考XXXXXX项目；
4）专家法估计偏差阈值按20%考虑。</v>
      </c>
      <c r="F5" s="100"/>
      <c r="G5" s="100"/>
      <c r="H5" s="100"/>
      <c r="I5" s="100"/>
      <c r="J5" s="100"/>
      <c r="K5" s="100"/>
      <c r="L5" s="100"/>
      <c r="M5" s="172"/>
    </row>
    <row r="6" spans="1:14">
      <c r="A6" s="166" t="s">
        <v>7</v>
      </c>
      <c r="B6" s="167" t="s">
        <v>8</v>
      </c>
      <c r="C6" s="167"/>
      <c r="D6" s="167"/>
      <c r="E6" s="167"/>
      <c r="F6" s="167" t="s">
        <v>9</v>
      </c>
      <c r="G6" s="167"/>
      <c r="H6" s="168" t="s">
        <v>10</v>
      </c>
      <c r="I6" s="168"/>
      <c r="J6" s="168"/>
      <c r="K6" s="168"/>
      <c r="L6" s="168"/>
      <c r="M6" s="182" t="s">
        <v>49</v>
      </c>
    </row>
    <row r="7" spans="1:14" ht="15.5" customHeight="1">
      <c r="A7" s="166"/>
      <c r="B7" s="167"/>
      <c r="C7" s="167"/>
      <c r="D7" s="167"/>
      <c r="E7" s="167"/>
      <c r="F7" s="167"/>
      <c r="G7" s="167"/>
      <c r="H7" s="167" t="s">
        <v>18</v>
      </c>
      <c r="I7" s="167"/>
      <c r="J7" s="72" t="s">
        <v>19</v>
      </c>
      <c r="K7" s="72" t="s">
        <v>20</v>
      </c>
      <c r="L7" s="87" t="s">
        <v>21</v>
      </c>
      <c r="M7" s="182"/>
    </row>
    <row r="8" spans="1:14" ht="15" customHeight="1">
      <c r="A8" s="64">
        <v>1</v>
      </c>
      <c r="B8" s="101" t="str">
        <f>文档规模及工作量估计ok!B8</f>
        <v>软件开发计划</v>
      </c>
      <c r="C8" s="101"/>
      <c r="D8" s="101"/>
      <c r="E8" s="101"/>
      <c r="F8" s="164" t="s">
        <v>14</v>
      </c>
      <c r="G8" s="165"/>
      <c r="H8" s="98">
        <f>(文档规模及工作量估计ok!G8+文档规模及工作量估计ok!S8+文档规模及工作量估计ok!G50+文档规模及工作量估计ok!S50)/4</f>
        <v>35</v>
      </c>
      <c r="I8" s="99"/>
      <c r="J8" s="66">
        <f>MAX(文档规模及工作量估计ok!G50,文档规模及工作量估计ok!S50,文档规模及工作量估计ok!G8,文档规模及工作量估计ok!S8)</f>
        <v>35</v>
      </c>
      <c r="K8" s="84">
        <f>MIN(文档规模及工作量估计ok!G8,文档规模及工作量估计ok!S8,文档规模及工作量估计ok!G50,文档规模及工作量估计ok!S50)</f>
        <v>35</v>
      </c>
      <c r="L8" s="88">
        <f>MAX(ABS(J8-H8),ABS(K8-H8))/H8</f>
        <v>0</v>
      </c>
      <c r="M8" s="69">
        <f>ROUND(H8,0)</f>
        <v>35</v>
      </c>
      <c r="N8" s="91"/>
    </row>
    <row r="9" spans="1:14" ht="15" customHeight="1">
      <c r="A9" s="64">
        <v>2</v>
      </c>
      <c r="B9" s="101" t="str">
        <f>文档规模及工作量估计ok!B9</f>
        <v>软件质量保证计划</v>
      </c>
      <c r="C9" s="101"/>
      <c r="D9" s="101"/>
      <c r="E9" s="101"/>
      <c r="F9" s="164" t="s">
        <v>14</v>
      </c>
      <c r="G9" s="165"/>
      <c r="H9" s="98">
        <f>(文档规模及工作量估计ok!G9+文档规模及工作量估计ok!S9+文档规模及工作量估计ok!G51+文档规模及工作量估计ok!S51)/4</f>
        <v>15.75</v>
      </c>
      <c r="I9" s="99"/>
      <c r="J9" s="66">
        <f>MAX(文档规模及工作量估计ok!G51,文档规模及工作量估计ok!S51,文档规模及工作量估计ok!G9,文档规模及工作量估计ok!S9)</f>
        <v>17</v>
      </c>
      <c r="K9" s="84">
        <f>MIN(文档规模及工作量估计ok!G9,文档规模及工作量估计ok!S9,文档规模及工作量估计ok!G51,文档规模及工作量估计ok!S51)</f>
        <v>14</v>
      </c>
      <c r="L9" s="88">
        <f>MAX(ABS(J9-H9),ABS(K9-H9))/H9</f>
        <v>0.1111111111111111</v>
      </c>
      <c r="M9" s="69">
        <f>ROUND(H9,0)</f>
        <v>16</v>
      </c>
      <c r="N9" s="91"/>
    </row>
    <row r="10" spans="1:14" ht="15" customHeight="1">
      <c r="A10" s="64">
        <v>3</v>
      </c>
      <c r="B10" s="101" t="str">
        <f>文档规模及工作量估计ok!B10</f>
        <v>软件配置管理计划</v>
      </c>
      <c r="C10" s="101"/>
      <c r="D10" s="101"/>
      <c r="E10" s="101"/>
      <c r="F10" s="164" t="s">
        <v>14</v>
      </c>
      <c r="G10" s="165"/>
      <c r="H10" s="98">
        <f>(文档规模及工作量估计ok!G10+文档规模及工作量估计ok!S10+文档规模及工作量估计ok!G52+文档规模及工作量估计ok!S52)/4</f>
        <v>14.25</v>
      </c>
      <c r="I10" s="99"/>
      <c r="J10" s="66">
        <f>MAX(文档规模及工作量估计ok!G52,文档规模及工作量估计ok!S52,文档规模及工作量估计ok!G10,文档规模及工作量估计ok!S10)</f>
        <v>15</v>
      </c>
      <c r="K10" s="84">
        <f>MIN(文档规模及工作量估计ok!G10,文档规模及工作量估计ok!S10,文档规模及工作量估计ok!G52,文档规模及工作量估计ok!S52)</f>
        <v>13</v>
      </c>
      <c r="L10" s="88">
        <f>MAX(ABS(J10-H10),ABS(K10-H10))/H10</f>
        <v>8.771929824561403E-2</v>
      </c>
      <c r="M10" s="69">
        <f>ROUND(H10,0)</f>
        <v>14</v>
      </c>
      <c r="N10" s="91"/>
    </row>
    <row r="11" spans="1:14" ht="15" customHeight="1">
      <c r="A11" s="64">
        <v>4</v>
      </c>
      <c r="B11" s="101" t="str">
        <f>文档规模及工作量估计ok!B11</f>
        <v>测量与分析计划</v>
      </c>
      <c r="C11" s="101"/>
      <c r="D11" s="101"/>
      <c r="E11" s="101"/>
      <c r="F11" s="164" t="s">
        <v>14</v>
      </c>
      <c r="G11" s="165"/>
      <c r="H11" s="98">
        <f>(文档规模及工作量估计ok!G11+文档规模及工作量估计ok!S11+文档规模及工作量估计ok!G53+文档规模及工作量估计ok!S53)/4</f>
        <v>11</v>
      </c>
      <c r="I11" s="99"/>
      <c r="J11" s="66">
        <f>MAX(文档规模及工作量估计ok!G53,文档规模及工作量估计ok!S53,文档规模及工作量估计ok!G11,文档规模及工作量估计ok!S11)</f>
        <v>11</v>
      </c>
      <c r="K11" s="84">
        <f>MIN(文档规模及工作量估计ok!G11,文档规模及工作量估计ok!S11,文档规模及工作量估计ok!G53,文档规模及工作量估计ok!S53)</f>
        <v>11</v>
      </c>
      <c r="L11" s="88">
        <f>MAX(ABS(J11-H11),ABS(K11-H11))/H11</f>
        <v>0</v>
      </c>
      <c r="M11" s="69">
        <f>ROUND(H11,0)</f>
        <v>11</v>
      </c>
      <c r="N11" s="91"/>
    </row>
    <row r="12" spans="1:14" ht="15" customHeight="1">
      <c r="A12" s="64">
        <v>5</v>
      </c>
      <c r="B12" s="101" t="str">
        <f>文档规模及工作量估计ok!B12</f>
        <v>需求规格说明</v>
      </c>
      <c r="C12" s="101"/>
      <c r="D12" s="101"/>
      <c r="E12" s="101"/>
      <c r="F12" s="164" t="s">
        <v>14</v>
      </c>
      <c r="G12" s="165"/>
      <c r="H12" s="98">
        <f>(文档规模及工作量估计ok!G12+文档规模及工作量估计ok!S12+文档规模及工作量估计ok!G54+文档规模及工作量估计ok!S54)/4</f>
        <v>55</v>
      </c>
      <c r="I12" s="99"/>
      <c r="J12" s="66">
        <f>MAX(文档规模及工作量估计ok!G54,文档规模及工作量估计ok!S54,文档规模及工作量估计ok!G12,文档规模及工作量估计ok!S12)</f>
        <v>60</v>
      </c>
      <c r="K12" s="84">
        <f>MIN(文档规模及工作量估计ok!G12,文档规模及工作量估计ok!S12,文档规模及工作量估计ok!G54,文档规模及工作量估计ok!S54)</f>
        <v>50</v>
      </c>
      <c r="L12" s="88">
        <f t="shared" ref="L12:L28" si="0">MAX(ABS(J12-H12),ABS(K12-H12))/H12</f>
        <v>9.0909090909090912E-2</v>
      </c>
      <c r="M12" s="69">
        <f t="shared" ref="M12:M28" si="1">ROUND(H12,0)</f>
        <v>55</v>
      </c>
      <c r="N12" s="91"/>
    </row>
    <row r="13" spans="1:14" ht="15" customHeight="1">
      <c r="A13" s="64">
        <v>6</v>
      </c>
      <c r="B13" s="101" t="str">
        <f>文档规模及工作量估计ok!B13</f>
        <v>配置项测试计划</v>
      </c>
      <c r="C13" s="101"/>
      <c r="D13" s="101"/>
      <c r="E13" s="101"/>
      <c r="F13" s="164" t="s">
        <v>62</v>
      </c>
      <c r="G13" s="165"/>
      <c r="H13" s="98">
        <f>(文档规模及工作量估计ok!G13+文档规模及工作量估计ok!S13+文档规模及工作量估计ok!G55+文档规模及工作量估计ok!S55)/4</f>
        <v>18</v>
      </c>
      <c r="I13" s="99"/>
      <c r="J13" s="66">
        <f>MAX(文档规模及工作量估计ok!G55,文档规模及工作量估计ok!S55,文档规模及工作量估计ok!G13,文档规模及工作量估计ok!S13)</f>
        <v>20</v>
      </c>
      <c r="K13" s="84">
        <f>MIN(文档规模及工作量估计ok!G13,文档规模及工作量估计ok!S13,文档规模及工作量估计ok!G55,文档规模及工作量估计ok!S55)</f>
        <v>15</v>
      </c>
      <c r="L13" s="88">
        <f t="shared" si="0"/>
        <v>0.16666666666666666</v>
      </c>
      <c r="M13" s="69">
        <f t="shared" si="1"/>
        <v>18</v>
      </c>
      <c r="N13" s="91"/>
    </row>
    <row r="14" spans="1:14" ht="15" customHeight="1">
      <c r="A14" s="64">
        <v>7</v>
      </c>
      <c r="B14" s="101" t="str">
        <f>文档规模及工作量估计ok!B14</f>
        <v>软件设计说明</v>
      </c>
      <c r="C14" s="101"/>
      <c r="D14" s="101"/>
      <c r="E14" s="101"/>
      <c r="F14" s="164" t="s">
        <v>14</v>
      </c>
      <c r="G14" s="165"/>
      <c r="H14" s="98">
        <f>(文档规模及工作量估计ok!G14+文档规模及工作量估计ok!S14+文档规模及工作量估计ok!G56+文档规模及工作量估计ok!S56)/4</f>
        <v>90</v>
      </c>
      <c r="I14" s="99"/>
      <c r="J14" s="66">
        <f>MAX(文档规模及工作量估计ok!G56,文档规模及工作量估计ok!S56,文档规模及工作量估计ok!G14,文档规模及工作量估计ok!S14)</f>
        <v>100</v>
      </c>
      <c r="K14" s="84">
        <f>MIN(文档规模及工作量估计ok!G14,文档规模及工作量估计ok!S14,文档规模及工作量估计ok!G56,文档规模及工作量估计ok!S56)</f>
        <v>80</v>
      </c>
      <c r="L14" s="88">
        <f t="shared" si="0"/>
        <v>0.1111111111111111</v>
      </c>
      <c r="M14" s="69">
        <f t="shared" si="1"/>
        <v>90</v>
      </c>
      <c r="N14" s="91"/>
    </row>
    <row r="15" spans="1:14" ht="14.5" customHeight="1">
      <c r="A15" s="64">
        <v>8</v>
      </c>
      <c r="B15" s="101" t="str">
        <f>文档规模及工作量估计ok!B15</f>
        <v>单元测试计划</v>
      </c>
      <c r="C15" s="101"/>
      <c r="D15" s="101"/>
      <c r="E15" s="101"/>
      <c r="F15" s="164" t="s">
        <v>14</v>
      </c>
      <c r="G15" s="165"/>
      <c r="H15" s="98">
        <f>(文档规模及工作量估计ok!G15+文档规模及工作量估计ok!S15+文档规模及工作量估计ok!G57+文档规模及工作量估计ok!S57)/4</f>
        <v>0</v>
      </c>
      <c r="I15" s="99"/>
      <c r="J15" s="66">
        <f>MAX(文档规模及工作量估计ok!G57,文档规模及工作量估计ok!S57,文档规模及工作量估计ok!G15,文档规模及工作量估计ok!S15)</f>
        <v>0</v>
      </c>
      <c r="K15" s="84">
        <f>MIN(文档规模及工作量估计ok!G15,文档规模及工作量估计ok!S15,文档规模及工作量估计ok!G57,文档规模及工作量估计ok!S57)</f>
        <v>0</v>
      </c>
      <c r="L15" s="88" t="e">
        <f t="shared" si="0"/>
        <v>#DIV/0!</v>
      </c>
      <c r="M15" s="69">
        <f t="shared" si="1"/>
        <v>0</v>
      </c>
      <c r="N15" s="91"/>
    </row>
    <row r="16" spans="1:14" ht="15" customHeight="1">
      <c r="A16" s="64">
        <v>13</v>
      </c>
      <c r="B16" s="101" t="str">
        <f>文档规模及工作量估计ok!B16</f>
        <v>单元测试报告</v>
      </c>
      <c r="C16" s="101"/>
      <c r="D16" s="101"/>
      <c r="E16" s="101"/>
      <c r="F16" s="164" t="s">
        <v>14</v>
      </c>
      <c r="G16" s="165"/>
      <c r="H16" s="98">
        <f>(文档规模及工作量估计ok!G16+文档规模及工作量估计ok!S16+文档规模及工作量估计ok!G58+文档规模及工作量估计ok!S58)/4</f>
        <v>0</v>
      </c>
      <c r="I16" s="99"/>
      <c r="J16" s="66">
        <f>MAX(文档规模及工作量估计ok!G58,文档规模及工作量估计ok!S58,文档规模及工作量估计ok!G16,文档规模及工作量估计ok!S16)</f>
        <v>0</v>
      </c>
      <c r="K16" s="84">
        <f>MIN(文档规模及工作量估计ok!G16,文档规模及工作量估计ok!S16,文档规模及工作量估计ok!G58,文档规模及工作量估计ok!S58)</f>
        <v>0</v>
      </c>
      <c r="L16" s="88" t="e">
        <f t="shared" si="0"/>
        <v>#DIV/0!</v>
      </c>
      <c r="M16" s="69">
        <f t="shared" si="1"/>
        <v>0</v>
      </c>
      <c r="N16" s="91"/>
    </row>
    <row r="17" spans="1:14" ht="15" customHeight="1">
      <c r="A17" s="64">
        <v>15</v>
      </c>
      <c r="B17" s="101" t="str">
        <f>文档规模及工作量估计ok!B17</f>
        <v>配置项测试说明</v>
      </c>
      <c r="C17" s="101"/>
      <c r="D17" s="101"/>
      <c r="E17" s="101"/>
      <c r="F17" s="164" t="s">
        <v>14</v>
      </c>
      <c r="G17" s="165"/>
      <c r="H17" s="98">
        <f>(文档规模及工作量估计ok!G17+文档规模及工作量估计ok!S17+文档规模及工作量估计ok!G59+文档规模及工作量估计ok!S59)/4</f>
        <v>42.5</v>
      </c>
      <c r="I17" s="99"/>
      <c r="J17" s="66">
        <f>MAX(文档规模及工作量估计ok!G59,文档规模及工作量估计ok!S59,文档规模及工作量估计ok!G17,文档规模及工作量估计ok!S17)</f>
        <v>45</v>
      </c>
      <c r="K17" s="84">
        <f>MIN(文档规模及工作量估计ok!G17,文档规模及工作量估计ok!S17,文档规模及工作量估计ok!G59,文档规模及工作量估计ok!S59)</f>
        <v>40</v>
      </c>
      <c r="L17" s="88">
        <f t="shared" si="0"/>
        <v>5.8823529411764705E-2</v>
      </c>
      <c r="M17" s="69">
        <f t="shared" si="1"/>
        <v>43</v>
      </c>
      <c r="N17" s="91"/>
    </row>
    <row r="18" spans="1:14" ht="15" customHeight="1">
      <c r="A18" s="64">
        <v>16</v>
      </c>
      <c r="B18" s="101" t="str">
        <f>文档规模及工作量估计ok!B18</f>
        <v>配置项测试报告</v>
      </c>
      <c r="C18" s="101"/>
      <c r="D18" s="101"/>
      <c r="E18" s="101"/>
      <c r="F18" s="164" t="s">
        <v>14</v>
      </c>
      <c r="G18" s="165"/>
      <c r="H18" s="98">
        <f>(文档规模及工作量估计ok!G18+文档规模及工作量估计ok!S18+文档规模及工作量估计ok!G60+文档规模及工作量估计ok!S60)/4</f>
        <v>72.5</v>
      </c>
      <c r="I18" s="99"/>
      <c r="J18" s="66">
        <f>MAX(文档规模及工作量估计ok!G60,文档规模及工作量估计ok!S60,文档规模及工作量估计ok!G18,文档规模及工作量估计ok!S18)</f>
        <v>80</v>
      </c>
      <c r="K18" s="84">
        <f>MIN(文档规模及工作量估计ok!G18,文档规模及工作量估计ok!S18,文档规模及工作量估计ok!G60,文档规模及工作量估计ok!S60)</f>
        <v>70</v>
      </c>
      <c r="L18" s="88">
        <f t="shared" si="0"/>
        <v>0.10344827586206896</v>
      </c>
      <c r="M18" s="69">
        <f t="shared" si="1"/>
        <v>73</v>
      </c>
      <c r="N18" s="91"/>
    </row>
    <row r="19" spans="1:14">
      <c r="A19" s="64">
        <v>17</v>
      </c>
      <c r="B19" s="101" t="str">
        <f>文档规模及工作量估计ok!B19</f>
        <v>用户手册</v>
      </c>
      <c r="C19" s="101"/>
      <c r="D19" s="101"/>
      <c r="E19" s="101"/>
      <c r="F19" s="164" t="s">
        <v>14</v>
      </c>
      <c r="G19" s="165"/>
      <c r="H19" s="98">
        <f>(文档规模及工作量估计ok!G19+文档规模及工作量估计ok!S19+文档规模及工作量估计ok!G61+文档规模及工作量估计ok!S61)/4</f>
        <v>30</v>
      </c>
      <c r="I19" s="99"/>
      <c r="J19" s="66">
        <f>MAX(文档规模及工作量估计ok!G61,文档规模及工作量估计ok!S61,文档规模及工作量估计ok!G19,文档规模及工作量估计ok!S19)</f>
        <v>30</v>
      </c>
      <c r="K19" s="84">
        <f>MIN(文档规模及工作量估计ok!G19,文档规模及工作量估计ok!S19,文档规模及工作量估计ok!G61,文档规模及工作量估计ok!S61)</f>
        <v>30</v>
      </c>
      <c r="L19" s="88">
        <f t="shared" si="0"/>
        <v>0</v>
      </c>
      <c r="M19" s="69">
        <f t="shared" si="1"/>
        <v>30</v>
      </c>
      <c r="N19" s="91"/>
    </row>
    <row r="20" spans="1:14" ht="15.5" customHeight="1">
      <c r="A20" s="64">
        <v>20</v>
      </c>
      <c r="B20" s="101" t="str">
        <f>文档规模及工作量估计ok!B20</f>
        <v>研制总结报告</v>
      </c>
      <c r="C20" s="101"/>
      <c r="D20" s="101"/>
      <c r="E20" s="101"/>
      <c r="F20" s="164" t="s">
        <v>14</v>
      </c>
      <c r="G20" s="165"/>
      <c r="H20" s="98">
        <f>(文档规模及工作量估计ok!G20+文档规模及工作量估计ok!S20+文档规模及工作量估计ok!G62+文档规模及工作量估计ok!S62)/4</f>
        <v>0</v>
      </c>
      <c r="I20" s="99"/>
      <c r="J20" s="66">
        <f>MAX(文档规模及工作量估计ok!G62,文档规模及工作量估计ok!S62,文档规模及工作量估计ok!G20,文档规模及工作量估计ok!S20)</f>
        <v>0</v>
      </c>
      <c r="K20" s="84">
        <f>MIN(文档规模及工作量估计ok!G20,文档规模及工作量估计ok!S20,文档规模及工作量估计ok!G62,文档规模及工作量估计ok!S62)</f>
        <v>0</v>
      </c>
      <c r="L20" s="88" t="e">
        <f t="shared" si="0"/>
        <v>#DIV/0!</v>
      </c>
      <c r="M20" s="69">
        <f t="shared" si="1"/>
        <v>0</v>
      </c>
    </row>
    <row r="21" spans="1:14" ht="15.5" customHeight="1">
      <c r="A21" s="64">
        <v>21</v>
      </c>
      <c r="B21" s="101" t="str">
        <f>文档规模及工作量估计ok!B21</f>
        <v>软件开发计划编写</v>
      </c>
      <c r="C21" s="101"/>
      <c r="D21" s="101"/>
      <c r="E21" s="101"/>
      <c r="F21" s="164" t="s">
        <v>41</v>
      </c>
      <c r="G21" s="165"/>
      <c r="H21" s="98">
        <f>(文档规模及工作量估计ok!G21+文档规模及工作量估计ok!S21+文档规模及工作量估计ok!G63+文档规模及工作量估计ok!S63)/4</f>
        <v>12</v>
      </c>
      <c r="I21" s="99"/>
      <c r="J21" s="66">
        <f>MAX(文档规模及工作量估计ok!G63,文档规模及工作量估计ok!S63,文档规模及工作量估计ok!G21,文档规模及工作量估计ok!S21)</f>
        <v>12</v>
      </c>
      <c r="K21" s="84">
        <f>MIN(文档规模及工作量估计ok!G21,文档规模及工作量估计ok!S21,文档规模及工作量估计ok!G63,文档规模及工作量估计ok!S63)</f>
        <v>12</v>
      </c>
      <c r="L21" s="88">
        <f t="shared" si="0"/>
        <v>0</v>
      </c>
      <c r="M21" s="69">
        <f t="shared" si="1"/>
        <v>12</v>
      </c>
      <c r="N21" s="91"/>
    </row>
    <row r="22" spans="1:14" ht="15" customHeight="1">
      <c r="A22" s="64">
        <v>22</v>
      </c>
      <c r="B22" s="101" t="str">
        <f>文档规模及工作量估计ok!B22</f>
        <v>软件质量保证计划编写</v>
      </c>
      <c r="C22" s="101"/>
      <c r="D22" s="101"/>
      <c r="E22" s="101"/>
      <c r="F22" s="164" t="s">
        <v>41</v>
      </c>
      <c r="G22" s="165"/>
      <c r="H22" s="98">
        <f>(文档规模及工作量估计ok!G22+文档规模及工作量估计ok!S22+文档规模及工作量估计ok!G64+文档规模及工作量估计ok!S64)/4</f>
        <v>6</v>
      </c>
      <c r="I22" s="99"/>
      <c r="J22" s="66">
        <f>MAX(文档规模及工作量估计ok!G64,文档规模及工作量估计ok!S64,文档规模及工作量估计ok!G22,文档规模及工作量估计ok!S22)</f>
        <v>6</v>
      </c>
      <c r="K22" s="84">
        <f>MIN(文档规模及工作量估计ok!G22,文档规模及工作量估计ok!S22,文档规模及工作量估计ok!G64,文档规模及工作量估计ok!S64)</f>
        <v>6</v>
      </c>
      <c r="L22" s="88">
        <f t="shared" si="0"/>
        <v>0</v>
      </c>
      <c r="M22" s="69">
        <f t="shared" si="1"/>
        <v>6</v>
      </c>
      <c r="N22" s="91"/>
    </row>
    <row r="23" spans="1:14" ht="15.5" customHeight="1">
      <c r="A23" s="64">
        <v>23</v>
      </c>
      <c r="B23" s="101" t="str">
        <f>文档规模及工作量估计ok!B23</f>
        <v>软件配置管理计划编写</v>
      </c>
      <c r="C23" s="101"/>
      <c r="D23" s="101"/>
      <c r="E23" s="101"/>
      <c r="F23" s="164" t="s">
        <v>41</v>
      </c>
      <c r="G23" s="165"/>
      <c r="H23" s="98">
        <f>(文档规模及工作量估计ok!G23+文档规模及工作量估计ok!S23+文档规模及工作量估计ok!G65+文档规模及工作量估计ok!S65)/4</f>
        <v>6</v>
      </c>
      <c r="I23" s="99"/>
      <c r="J23" s="66">
        <f>MAX(文档规模及工作量估计ok!G65,文档规模及工作量估计ok!S65,文档规模及工作量估计ok!G23,文档规模及工作量估计ok!S23)</f>
        <v>6</v>
      </c>
      <c r="K23" s="84">
        <f>MIN(文档规模及工作量估计ok!G23,文档规模及工作量估计ok!S23,文档规模及工作量估计ok!G65,文档规模及工作量估计ok!S65)</f>
        <v>6</v>
      </c>
      <c r="L23" s="88">
        <f t="shared" si="0"/>
        <v>0</v>
      </c>
      <c r="M23" s="69">
        <f t="shared" si="1"/>
        <v>6</v>
      </c>
      <c r="N23" s="91"/>
    </row>
    <row r="24" spans="1:14" ht="15.5" customHeight="1">
      <c r="A24" s="64">
        <v>24</v>
      </c>
      <c r="B24" s="101" t="str">
        <f>文档规模及工作量估计ok!B24</f>
        <v>测量与分析计划编写</v>
      </c>
      <c r="C24" s="101"/>
      <c r="D24" s="101"/>
      <c r="E24" s="101"/>
      <c r="F24" s="164" t="s">
        <v>41</v>
      </c>
      <c r="G24" s="165"/>
      <c r="H24" s="98">
        <f>(文档规模及工作量估计ok!G24+文档规模及工作量估计ok!S24+文档规模及工作量估计ok!G66+文档规模及工作量估计ok!S66)/4</f>
        <v>6</v>
      </c>
      <c r="I24" s="99"/>
      <c r="J24" s="66">
        <f>MAX(文档规模及工作量估计ok!G66,文档规模及工作量估计ok!S66,文档规模及工作量估计ok!G24,文档规模及工作量估计ok!S24)</f>
        <v>6</v>
      </c>
      <c r="K24" s="84">
        <f>MIN(文档规模及工作量估计ok!G24,文档规模及工作量估计ok!S24,文档规模及工作量估计ok!G66,文档规模及工作量估计ok!S66)</f>
        <v>6</v>
      </c>
      <c r="L24" s="88">
        <f t="shared" si="0"/>
        <v>0</v>
      </c>
      <c r="M24" s="69">
        <f t="shared" si="1"/>
        <v>6</v>
      </c>
      <c r="N24" s="91"/>
    </row>
    <row r="25" spans="1:14" ht="15" customHeight="1">
      <c r="A25" s="64">
        <v>25</v>
      </c>
      <c r="B25" s="101" t="str">
        <f>文档规模及工作量估计ok!B25</f>
        <v>需求规格说明编写</v>
      </c>
      <c r="C25" s="101"/>
      <c r="D25" s="101"/>
      <c r="E25" s="101"/>
      <c r="F25" s="164" t="s">
        <v>41</v>
      </c>
      <c r="G25" s="165"/>
      <c r="H25" s="98">
        <f>(文档规模及工作量估计ok!G25+文档规模及工作量估计ok!S25+文档规模及工作量估计ok!G67+文档规模及工作量估计ok!S67)/4</f>
        <v>47.5</v>
      </c>
      <c r="I25" s="99"/>
      <c r="J25" s="66">
        <f>MAX(文档规模及工作量估计ok!G67,文档规模及工作量估计ok!S67,文档规模及工作量估计ok!G25,文档规模及工作量估计ok!S25)</f>
        <v>50</v>
      </c>
      <c r="K25" s="84">
        <f>MIN(文档规模及工作量估计ok!G25,文档规模及工作量估计ok!S25,文档规模及工作量估计ok!G67,文档规模及工作量估计ok!S67)</f>
        <v>45</v>
      </c>
      <c r="L25" s="88">
        <f t="shared" si="0"/>
        <v>5.2631578947368418E-2</v>
      </c>
      <c r="M25" s="69">
        <f t="shared" si="1"/>
        <v>48</v>
      </c>
      <c r="N25" s="91"/>
    </row>
    <row r="26" spans="1:14" ht="15.5" customHeight="1">
      <c r="A26" s="64">
        <v>26</v>
      </c>
      <c r="B26" s="101" t="str">
        <f>文档规模及工作量估计ok!B26</f>
        <v>配置项测试计划</v>
      </c>
      <c r="C26" s="101"/>
      <c r="D26" s="101"/>
      <c r="E26" s="101"/>
      <c r="F26" s="164" t="s">
        <v>41</v>
      </c>
      <c r="G26" s="165"/>
      <c r="H26" s="98">
        <f>(文档规模及工作量估计ok!G26+文档规模及工作量估计ok!S26+文档规模及工作量估计ok!G68+文档规模及工作量估计ok!S68)/4</f>
        <v>6</v>
      </c>
      <c r="I26" s="99"/>
      <c r="J26" s="66">
        <f>MAX(文档规模及工作量估计ok!G68,文档规模及工作量估计ok!S68,文档规模及工作量估计ok!G26,文档规模及工作量估计ok!S26)</f>
        <v>6</v>
      </c>
      <c r="K26" s="84">
        <f>MIN(文档规模及工作量估计ok!G26,文档规模及工作量估计ok!S26,文档规模及工作量估计ok!G68,文档规模及工作量估计ok!S68)</f>
        <v>6</v>
      </c>
      <c r="L26" s="88">
        <f t="shared" si="0"/>
        <v>0</v>
      </c>
      <c r="M26" s="69">
        <f t="shared" si="1"/>
        <v>6</v>
      </c>
      <c r="N26" s="91"/>
    </row>
    <row r="27" spans="1:14" ht="15.5" customHeight="1">
      <c r="A27" s="64">
        <v>27</v>
      </c>
      <c r="B27" s="101" t="str">
        <f>文档规模及工作量估计ok!B27</f>
        <v>软件设计说明编写</v>
      </c>
      <c r="C27" s="101"/>
      <c r="D27" s="101"/>
      <c r="E27" s="101"/>
      <c r="F27" s="164" t="s">
        <v>41</v>
      </c>
      <c r="G27" s="165"/>
      <c r="H27" s="98">
        <f>(文档规模及工作量估计ok!G27+文档规模及工作量估计ok!S27+文档规模及工作量估计ok!G69+文档规模及工作量估计ok!S69)/4</f>
        <v>96.25</v>
      </c>
      <c r="I27" s="99"/>
      <c r="J27" s="66">
        <f>MAX(文档规模及工作量估计ok!G69,文档规模及工作量估计ok!S69,文档规模及工作量估计ok!G27,文档规模及工作量估计ok!S27)</f>
        <v>100</v>
      </c>
      <c r="K27" s="84">
        <f>MIN(文档规模及工作量估计ok!G27,文档规模及工作量估计ok!S27,文档规模及工作量估计ok!G69,文档规模及工作量估计ok!S69)</f>
        <v>90</v>
      </c>
      <c r="L27" s="88">
        <f t="shared" si="0"/>
        <v>6.4935064935064929E-2</v>
      </c>
      <c r="M27" s="69">
        <f t="shared" si="1"/>
        <v>96</v>
      </c>
      <c r="N27" s="91"/>
    </row>
    <row r="28" spans="1:14" ht="15.5" customHeight="1">
      <c r="A28" s="64">
        <v>28</v>
      </c>
      <c r="B28" s="101" t="str">
        <f>文档规模及工作量估计ok!B28</f>
        <v>单元测试计划编写</v>
      </c>
      <c r="C28" s="101"/>
      <c r="D28" s="101"/>
      <c r="E28" s="101"/>
      <c r="F28" s="164" t="s">
        <v>41</v>
      </c>
      <c r="G28" s="165"/>
      <c r="H28" s="98">
        <f>(文档规模及工作量估计ok!G28+文档规模及工作量估计ok!S28+文档规模及工作量估计ok!G70+文档规模及工作量估计ok!S70)/4</f>
        <v>6</v>
      </c>
      <c r="I28" s="99"/>
      <c r="J28" s="66">
        <f>MAX(文档规模及工作量估计ok!G70,文档规模及工作量估计ok!S70,文档规模及工作量估计ok!G28,文档规模及工作量估计ok!S28)</f>
        <v>6</v>
      </c>
      <c r="K28" s="84">
        <f>MIN(文档规模及工作量估计ok!G28,文档规模及工作量估计ok!S28,文档规模及工作量估计ok!G70,文档规模及工作量估计ok!S70)</f>
        <v>6</v>
      </c>
      <c r="L28" s="88">
        <f t="shared" si="0"/>
        <v>0</v>
      </c>
      <c r="M28" s="69">
        <f t="shared" si="1"/>
        <v>6</v>
      </c>
      <c r="N28" s="91"/>
    </row>
    <row r="29" spans="1:14" ht="15.5" customHeight="1">
      <c r="A29" s="64">
        <v>33</v>
      </c>
      <c r="B29" s="101" t="str">
        <f>文档规模及工作量估计ok!B29</f>
        <v>单元测试报告编写</v>
      </c>
      <c r="C29" s="101"/>
      <c r="D29" s="101"/>
      <c r="E29" s="101"/>
      <c r="F29" s="164" t="s">
        <v>41</v>
      </c>
      <c r="G29" s="165"/>
      <c r="H29" s="98">
        <f>(文档规模及工作量估计ok!G29+文档规模及工作量估计ok!S29+文档规模及工作量估计ok!G71+文档规模及工作量估计ok!S71)/4</f>
        <v>6</v>
      </c>
      <c r="I29" s="99"/>
      <c r="J29" s="66">
        <f>MAX(文档规模及工作量估计ok!G71,文档规模及工作量估计ok!S71,文档规模及工作量估计ok!G29,文档规模及工作量估计ok!S29)</f>
        <v>6</v>
      </c>
      <c r="K29" s="84">
        <f>MIN(文档规模及工作量估计ok!G29,文档规模及工作量估计ok!S29,文档规模及工作量估计ok!G71,文档规模及工作量估计ok!S71)</f>
        <v>6</v>
      </c>
      <c r="L29" s="88">
        <f t="shared" ref="L29:L34" si="2">MAX(ABS(J29-H29),ABS(K29-H29))/H29</f>
        <v>0</v>
      </c>
      <c r="M29" s="69">
        <f t="shared" ref="M29:M34" si="3">ROUND(H29,0)</f>
        <v>6</v>
      </c>
      <c r="N29" s="91"/>
    </row>
    <row r="30" spans="1:14" ht="15.5" customHeight="1">
      <c r="A30" s="64">
        <v>35</v>
      </c>
      <c r="B30" s="101" t="str">
        <f>文档规模及工作量估计ok!B30</f>
        <v>配置项测试说明编写</v>
      </c>
      <c r="C30" s="101"/>
      <c r="D30" s="101"/>
      <c r="E30" s="101"/>
      <c r="F30" s="164" t="s">
        <v>41</v>
      </c>
      <c r="G30" s="165"/>
      <c r="H30" s="98">
        <f>(文档规模及工作量估计ok!G30+文档规模及工作量估计ok!S30+文档规模及工作量估计ok!G72+文档规模及工作量估计ok!S72)/4</f>
        <v>40</v>
      </c>
      <c r="I30" s="99"/>
      <c r="J30" s="66">
        <f>MAX(文档规模及工作量估计ok!G72,文档规模及工作量估计ok!S72,文档规模及工作量估计ok!G30,文档规模及工作量估计ok!S30)</f>
        <v>40</v>
      </c>
      <c r="K30" s="84">
        <f>MIN(文档规模及工作量估计ok!G30,文档规模及工作量估计ok!S30,文档规模及工作量估计ok!G72,文档规模及工作量估计ok!S72)</f>
        <v>40</v>
      </c>
      <c r="L30" s="88">
        <f t="shared" si="2"/>
        <v>0</v>
      </c>
      <c r="M30" s="69">
        <f t="shared" si="3"/>
        <v>40</v>
      </c>
      <c r="N30" s="91"/>
    </row>
    <row r="31" spans="1:14" ht="15.5" customHeight="1">
      <c r="A31" s="64">
        <v>36</v>
      </c>
      <c r="B31" s="101" t="str">
        <f>文档规模及工作量估计ok!B31</f>
        <v>配置项测试报告编写</v>
      </c>
      <c r="C31" s="101"/>
      <c r="D31" s="101"/>
      <c r="E31" s="101"/>
      <c r="F31" s="164" t="s">
        <v>41</v>
      </c>
      <c r="G31" s="165"/>
      <c r="H31" s="98">
        <f>(文档规模及工作量估计ok!G31+文档规模及工作量估计ok!S31+文档规模及工作量估计ok!G73+文档规模及工作量估计ok!S73)/4</f>
        <v>8</v>
      </c>
      <c r="I31" s="99"/>
      <c r="J31" s="66">
        <f>MAX(文档规模及工作量估计ok!G73,文档规模及工作量估计ok!S73,文档规模及工作量估计ok!G31,文档规模及工作量估计ok!S31)</f>
        <v>8</v>
      </c>
      <c r="K31" s="84">
        <f>MIN(文档规模及工作量估计ok!G31,文档规模及工作量估计ok!S31,文档规模及工作量估计ok!G73,文档规模及工作量估计ok!S73)</f>
        <v>8</v>
      </c>
      <c r="L31" s="88">
        <f t="shared" si="2"/>
        <v>0</v>
      </c>
      <c r="M31" s="69">
        <f t="shared" si="3"/>
        <v>8</v>
      </c>
      <c r="N31" s="91"/>
    </row>
    <row r="32" spans="1:14" ht="15.5" customHeight="1">
      <c r="A32" s="64">
        <v>37</v>
      </c>
      <c r="B32" s="101" t="str">
        <f>文档规模及工作量估计ok!B32</f>
        <v>用户手册编写</v>
      </c>
      <c r="C32" s="101"/>
      <c r="D32" s="101"/>
      <c r="E32" s="101"/>
      <c r="F32" s="164" t="s">
        <v>41</v>
      </c>
      <c r="G32" s="165"/>
      <c r="H32" s="98">
        <f>(文档规模及工作量估计ok!G32+文档规模及工作量估计ok!S32+文档规模及工作量估计ok!G74+文档规模及工作量估计ok!S74)/4</f>
        <v>20</v>
      </c>
      <c r="I32" s="99"/>
      <c r="J32" s="66">
        <f>MAX(文档规模及工作量估计ok!G74,文档规模及工作量估计ok!S74,文档规模及工作量估计ok!G32,文档规模及工作量估计ok!S32)</f>
        <v>20</v>
      </c>
      <c r="K32" s="84">
        <f>MIN(文档规模及工作量估计ok!G32,文档规模及工作量估计ok!S32,文档规模及工作量估计ok!G74,文档规模及工作量估计ok!S74)</f>
        <v>20</v>
      </c>
      <c r="L32" s="88">
        <f t="shared" si="2"/>
        <v>0</v>
      </c>
      <c r="M32" s="69">
        <f t="shared" si="3"/>
        <v>20</v>
      </c>
      <c r="N32" s="91"/>
    </row>
    <row r="33" spans="1:14" ht="15.5" customHeight="1">
      <c r="A33" s="64">
        <v>40</v>
      </c>
      <c r="B33" s="101" t="str">
        <f>文档规模及工作量估计ok!B33</f>
        <v>研制总结报告编写</v>
      </c>
      <c r="C33" s="101"/>
      <c r="D33" s="101"/>
      <c r="E33" s="101"/>
      <c r="F33" s="164" t="s">
        <v>41</v>
      </c>
      <c r="G33" s="165"/>
      <c r="H33" s="98">
        <f>(文档规模及工作量估计ok!G33+文档规模及工作量估计ok!S33+文档规模及工作量估计ok!G75+文档规模及工作量估计ok!S75)/4</f>
        <v>24</v>
      </c>
      <c r="I33" s="99"/>
      <c r="J33" s="66">
        <f>MAX(文档规模及工作量估计ok!G75,文档规模及工作量估计ok!S75,文档规模及工作量估计ok!G33,文档规模及工作量估计ok!S33)</f>
        <v>24</v>
      </c>
      <c r="K33" s="84">
        <f>MIN(文档规模及工作量估计ok!G33,文档规模及工作量估计ok!S33,文档规模及工作量估计ok!G75,文档规模及工作量估计ok!S75)</f>
        <v>24</v>
      </c>
      <c r="L33" s="88">
        <f t="shared" si="2"/>
        <v>0</v>
      </c>
      <c r="M33" s="69">
        <f t="shared" si="3"/>
        <v>24</v>
      </c>
      <c r="N33" s="91"/>
    </row>
    <row r="34" spans="1:14" ht="15" customHeight="1">
      <c r="A34" s="64">
        <v>41</v>
      </c>
      <c r="B34" s="101" t="str">
        <f>文档规模及工作量估计ok!B34</f>
        <v>执行合格性测试</v>
      </c>
      <c r="C34" s="101"/>
      <c r="D34" s="101"/>
      <c r="E34" s="101"/>
      <c r="F34" s="164" t="s">
        <v>41</v>
      </c>
      <c r="G34" s="165"/>
      <c r="H34" s="98">
        <f>(文档规模及工作量估计ok!G34+文档规模及工作量估计ok!S34+文档规模及工作量估计ok!G76+文档规模及工作量估计ok!S76)/4</f>
        <v>47.5</v>
      </c>
      <c r="I34" s="99"/>
      <c r="J34" s="66">
        <f>MAX(文档规模及工作量估计ok!G76,文档规模及工作量估计ok!S76,文档规模及工作量估计ok!G34,文档规模及工作量估计ok!S34)</f>
        <v>50</v>
      </c>
      <c r="K34" s="84">
        <f>MIN(文档规模及工作量估计ok!G34,文档规模及工作量估计ok!S34,文档规模及工作量估计ok!G76,文档规模及工作量估计ok!S76)</f>
        <v>45</v>
      </c>
      <c r="L34" s="88">
        <f t="shared" si="2"/>
        <v>5.2631578947368418E-2</v>
      </c>
      <c r="M34" s="69">
        <f t="shared" si="3"/>
        <v>48</v>
      </c>
      <c r="N34" s="91"/>
    </row>
    <row r="35" spans="1:14" ht="15" customHeight="1">
      <c r="A35" s="64">
        <v>42</v>
      </c>
      <c r="B35" s="101" t="str">
        <f>文档规模及工作量估计ok!B35</f>
        <v>执行单元测试</v>
      </c>
      <c r="C35" s="101"/>
      <c r="D35" s="101"/>
      <c r="E35" s="101"/>
      <c r="F35" s="164" t="s">
        <v>41</v>
      </c>
      <c r="G35" s="165"/>
      <c r="H35" s="98">
        <f>(文档规模及工作量估计ok!G35+文档规模及工作量估计ok!S35+文档规模及工作量估计ok!G77+文档规模及工作量估计ok!S77)/4</f>
        <v>36.25</v>
      </c>
      <c r="I35" s="99"/>
      <c r="J35" s="66">
        <f>MAX(文档规模及工作量估计ok!G77,文档规模及工作量估计ok!S77,文档规模及工作量估计ok!G35,文档规模及工作量估计ok!S35)</f>
        <v>40</v>
      </c>
      <c r="K35" s="84">
        <f>MIN(文档规模及工作量估计ok!G35,文档规模及工作量估计ok!S35,文档规模及工作量估计ok!G77,文档规模及工作量估计ok!S77)</f>
        <v>35</v>
      </c>
      <c r="L35" s="88">
        <f t="shared" ref="L35" si="4">MAX(ABS(J35-H35),ABS(K35-H35))/H35</f>
        <v>0.10344827586206896</v>
      </c>
      <c r="M35" s="69">
        <f t="shared" ref="M35" si="5">ROUND(H35,0)</f>
        <v>36</v>
      </c>
      <c r="N35" s="91"/>
    </row>
    <row r="36" spans="1:14">
      <c r="A36" s="155" t="s">
        <v>153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7"/>
    </row>
    <row r="37" spans="1:14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60"/>
    </row>
    <row r="38" spans="1:14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60"/>
    </row>
    <row r="39" spans="1:14" ht="50.5" customHeight="1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60"/>
    </row>
    <row r="40" spans="1:14" ht="15" thickBot="1">
      <c r="A40" s="161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3"/>
    </row>
    <row r="43" spans="1:14" ht="36" customHeight="1">
      <c r="A43" s="324" t="s">
        <v>265</v>
      </c>
      <c r="B43" s="324"/>
      <c r="C43" s="324"/>
      <c r="D43" s="324"/>
      <c r="E43" s="324"/>
      <c r="F43" s="324"/>
      <c r="G43" s="324"/>
      <c r="H43" s="324"/>
      <c r="I43" s="324"/>
      <c r="J43" s="324"/>
      <c r="K43" s="324"/>
      <c r="L43" s="324"/>
      <c r="M43" s="324"/>
    </row>
    <row r="44" spans="1:14" s="81" customFormat="1" ht="30">
      <c r="A44" s="82" t="s">
        <v>181</v>
      </c>
      <c r="B44" s="184" t="s">
        <v>182</v>
      </c>
      <c r="C44" s="184"/>
      <c r="D44" s="184"/>
      <c r="E44" s="184"/>
      <c r="F44" s="184" t="s">
        <v>183</v>
      </c>
      <c r="G44" s="184"/>
      <c r="H44" s="184" t="s">
        <v>184</v>
      </c>
      <c r="I44" s="184"/>
      <c r="J44" s="184"/>
      <c r="K44" s="184" t="s">
        <v>186</v>
      </c>
      <c r="L44" s="184"/>
      <c r="M44" s="82" t="s">
        <v>185</v>
      </c>
    </row>
    <row r="45" spans="1:14">
      <c r="A45" s="85">
        <v>1</v>
      </c>
      <c r="B45" s="101" t="str">
        <f>B21</f>
        <v>软件开发计划编写</v>
      </c>
      <c r="C45" s="101"/>
      <c r="D45" s="101"/>
      <c r="E45" s="101"/>
      <c r="F45" s="185">
        <f>M21</f>
        <v>12</v>
      </c>
      <c r="G45" s="185"/>
      <c r="H45" s="184" t="s">
        <v>226</v>
      </c>
      <c r="I45" s="184"/>
      <c r="J45" s="184"/>
      <c r="K45" s="185">
        <v>4</v>
      </c>
      <c r="L45" s="185"/>
      <c r="M45" s="65">
        <f t="shared" ref="M45:M58" si="6">ROUNDUP(F45/K45,0)</f>
        <v>3</v>
      </c>
    </row>
    <row r="46" spans="1:14" ht="13.5" customHeight="1">
      <c r="A46" s="85">
        <v>2</v>
      </c>
      <c r="B46" s="101" t="str">
        <f>B22</f>
        <v>软件质量保证计划编写</v>
      </c>
      <c r="C46" s="101"/>
      <c r="D46" s="101"/>
      <c r="E46" s="101"/>
      <c r="F46" s="185">
        <f>M22</f>
        <v>6</v>
      </c>
      <c r="G46" s="185"/>
      <c r="H46" s="184" t="s">
        <v>187</v>
      </c>
      <c r="I46" s="184"/>
      <c r="J46" s="184"/>
      <c r="K46" s="185">
        <v>6</v>
      </c>
      <c r="L46" s="185"/>
      <c r="M46" s="65">
        <f t="shared" si="6"/>
        <v>1</v>
      </c>
    </row>
    <row r="47" spans="1:14" ht="13.5" customHeight="1">
      <c r="A47" s="85">
        <v>3</v>
      </c>
      <c r="B47" s="101" t="str">
        <f>B23</f>
        <v>软件配置管理计划编写</v>
      </c>
      <c r="C47" s="101"/>
      <c r="D47" s="101"/>
      <c r="E47" s="101"/>
      <c r="F47" s="185">
        <f>M23</f>
        <v>6</v>
      </c>
      <c r="G47" s="185"/>
      <c r="H47" s="184" t="s">
        <v>191</v>
      </c>
      <c r="I47" s="184"/>
      <c r="J47" s="184"/>
      <c r="K47" s="185">
        <v>6</v>
      </c>
      <c r="L47" s="185"/>
      <c r="M47" s="65">
        <f t="shared" si="6"/>
        <v>1</v>
      </c>
    </row>
    <row r="48" spans="1:14" ht="13.5" customHeight="1">
      <c r="A48" s="85">
        <v>4</v>
      </c>
      <c r="B48" s="101" t="str">
        <f>B24</f>
        <v>测量与分析计划编写</v>
      </c>
      <c r="C48" s="101"/>
      <c r="D48" s="101"/>
      <c r="E48" s="101"/>
      <c r="F48" s="185">
        <f>M24</f>
        <v>6</v>
      </c>
      <c r="G48" s="185"/>
      <c r="H48" s="184" t="s">
        <v>226</v>
      </c>
      <c r="I48" s="184"/>
      <c r="J48" s="184"/>
      <c r="K48" s="185">
        <v>2</v>
      </c>
      <c r="L48" s="185"/>
      <c r="M48" s="65">
        <f t="shared" si="6"/>
        <v>3</v>
      </c>
    </row>
    <row r="49" spans="1:13" ht="13.5" customHeight="1">
      <c r="A49" s="85">
        <v>5</v>
      </c>
      <c r="B49" s="101" t="str">
        <f>B25</f>
        <v>需求规格说明编写</v>
      </c>
      <c r="C49" s="101"/>
      <c r="D49" s="101"/>
      <c r="E49" s="101"/>
      <c r="F49" s="185">
        <f>M25</f>
        <v>48</v>
      </c>
      <c r="G49" s="185"/>
      <c r="H49" s="184" t="s">
        <v>226</v>
      </c>
      <c r="I49" s="184"/>
      <c r="J49" s="184"/>
      <c r="K49" s="185">
        <v>6</v>
      </c>
      <c r="L49" s="185"/>
      <c r="M49" s="65">
        <f t="shared" si="6"/>
        <v>8</v>
      </c>
    </row>
    <row r="50" spans="1:13" ht="13.5" customHeight="1">
      <c r="A50" s="85">
        <v>6</v>
      </c>
      <c r="B50" s="101" t="str">
        <f>B26</f>
        <v>配置项测试计划</v>
      </c>
      <c r="C50" s="101"/>
      <c r="D50" s="101"/>
      <c r="E50" s="101"/>
      <c r="F50" s="185">
        <f>M26</f>
        <v>6</v>
      </c>
      <c r="G50" s="185"/>
      <c r="H50" s="184" t="s">
        <v>229</v>
      </c>
      <c r="I50" s="184"/>
      <c r="J50" s="184"/>
      <c r="K50" s="185">
        <v>6</v>
      </c>
      <c r="L50" s="185"/>
      <c r="M50" s="65">
        <f t="shared" si="6"/>
        <v>1</v>
      </c>
    </row>
    <row r="51" spans="1:13" s="81" customFormat="1" ht="30" customHeight="1">
      <c r="A51" s="85">
        <v>7</v>
      </c>
      <c r="B51" s="101" t="str">
        <f>B27</f>
        <v>软件设计说明编写</v>
      </c>
      <c r="C51" s="101"/>
      <c r="D51" s="101"/>
      <c r="E51" s="101"/>
      <c r="F51" s="185">
        <f>M27</f>
        <v>96</v>
      </c>
      <c r="G51" s="185"/>
      <c r="H51" s="184" t="s">
        <v>235</v>
      </c>
      <c r="I51" s="184"/>
      <c r="J51" s="184"/>
      <c r="K51" s="184">
        <v>12</v>
      </c>
      <c r="L51" s="184"/>
      <c r="M51" s="83">
        <f t="shared" si="6"/>
        <v>8</v>
      </c>
    </row>
    <row r="52" spans="1:13" ht="13.5" customHeight="1">
      <c r="A52" s="85">
        <v>8</v>
      </c>
      <c r="B52" s="101" t="str">
        <f>B28</f>
        <v>单元测试计划编写</v>
      </c>
      <c r="C52" s="101"/>
      <c r="D52" s="101"/>
      <c r="E52" s="101"/>
      <c r="F52" s="185">
        <f>M28</f>
        <v>6</v>
      </c>
      <c r="G52" s="185"/>
      <c r="H52" s="184" t="s">
        <v>230</v>
      </c>
      <c r="I52" s="184"/>
      <c r="J52" s="184"/>
      <c r="K52" s="185">
        <v>6</v>
      </c>
      <c r="L52" s="185"/>
      <c r="M52" s="65">
        <f t="shared" si="6"/>
        <v>1</v>
      </c>
    </row>
    <row r="53" spans="1:13" ht="34.5" customHeight="1">
      <c r="A53" s="85">
        <v>9</v>
      </c>
      <c r="B53" s="101" t="str">
        <f>B29</f>
        <v>单元测试报告编写</v>
      </c>
      <c r="C53" s="101"/>
      <c r="D53" s="101"/>
      <c r="E53" s="101"/>
      <c r="F53" s="185">
        <f>M29</f>
        <v>6</v>
      </c>
      <c r="G53" s="185"/>
      <c r="H53" s="184" t="s">
        <v>230</v>
      </c>
      <c r="I53" s="184"/>
      <c r="J53" s="184"/>
      <c r="K53" s="185">
        <v>6</v>
      </c>
      <c r="L53" s="185"/>
      <c r="M53" s="65">
        <f t="shared" si="6"/>
        <v>1</v>
      </c>
    </row>
    <row r="54" spans="1:13" ht="13.5" customHeight="1">
      <c r="A54" s="85">
        <v>10</v>
      </c>
      <c r="B54" s="101" t="str">
        <f>B30</f>
        <v>配置项测试说明编写</v>
      </c>
      <c r="C54" s="101"/>
      <c r="D54" s="101"/>
      <c r="E54" s="101"/>
      <c r="F54" s="185">
        <f>M30</f>
        <v>40</v>
      </c>
      <c r="G54" s="185"/>
      <c r="H54" s="184" t="s">
        <v>231</v>
      </c>
      <c r="I54" s="184"/>
      <c r="J54" s="184"/>
      <c r="K54" s="185">
        <v>4</v>
      </c>
      <c r="L54" s="185"/>
      <c r="M54" s="65">
        <f t="shared" si="6"/>
        <v>10</v>
      </c>
    </row>
    <row r="55" spans="1:13" ht="13.5" customHeight="1">
      <c r="A55" s="85">
        <v>11</v>
      </c>
      <c r="B55" s="101" t="str">
        <f>B31</f>
        <v>配置项测试报告编写</v>
      </c>
      <c r="C55" s="101"/>
      <c r="D55" s="101"/>
      <c r="E55" s="101"/>
      <c r="F55" s="185">
        <f>M31</f>
        <v>8</v>
      </c>
      <c r="G55" s="185"/>
      <c r="H55" s="186" t="s">
        <v>233</v>
      </c>
      <c r="I55" s="187"/>
      <c r="J55" s="188"/>
      <c r="K55" s="164">
        <v>8</v>
      </c>
      <c r="L55" s="165"/>
      <c r="M55" s="65">
        <f t="shared" si="6"/>
        <v>1</v>
      </c>
    </row>
    <row r="56" spans="1:13" ht="13.5" customHeight="1">
      <c r="A56" s="85">
        <v>12</v>
      </c>
      <c r="B56" s="101" t="str">
        <f>B32</f>
        <v>用户手册编写</v>
      </c>
      <c r="C56" s="101"/>
      <c r="D56" s="101"/>
      <c r="E56" s="101"/>
      <c r="F56" s="185">
        <f>M32</f>
        <v>20</v>
      </c>
      <c r="G56" s="185"/>
      <c r="H56" s="184" t="s">
        <v>234</v>
      </c>
      <c r="I56" s="184"/>
      <c r="J56" s="184"/>
      <c r="K56" s="185">
        <v>4</v>
      </c>
      <c r="L56" s="185"/>
      <c r="M56" s="65">
        <f t="shared" si="6"/>
        <v>5</v>
      </c>
    </row>
    <row r="57" spans="1:13" ht="13.5" customHeight="1">
      <c r="A57" s="85">
        <v>13</v>
      </c>
      <c r="B57" s="101" t="str">
        <f>B33</f>
        <v>研制总结报告编写</v>
      </c>
      <c r="C57" s="101"/>
      <c r="D57" s="101"/>
      <c r="E57" s="101"/>
      <c r="F57" s="185">
        <f>M33</f>
        <v>24</v>
      </c>
      <c r="G57" s="185"/>
      <c r="H57" s="184" t="s">
        <v>226</v>
      </c>
      <c r="I57" s="184"/>
      <c r="J57" s="184"/>
      <c r="K57" s="185">
        <v>6</v>
      </c>
      <c r="L57" s="185"/>
      <c r="M57" s="65">
        <f t="shared" si="6"/>
        <v>4</v>
      </c>
    </row>
    <row r="58" spans="1:13" ht="13.5" customHeight="1">
      <c r="A58" s="85">
        <v>14</v>
      </c>
      <c r="B58" s="101" t="str">
        <f>B34</f>
        <v>执行合格性测试</v>
      </c>
      <c r="C58" s="101"/>
      <c r="D58" s="101"/>
      <c r="E58" s="101"/>
      <c r="F58" s="185">
        <f>M34</f>
        <v>48</v>
      </c>
      <c r="G58" s="185"/>
      <c r="H58" s="184" t="s">
        <v>232</v>
      </c>
      <c r="I58" s="184"/>
      <c r="J58" s="184"/>
      <c r="K58" s="185">
        <v>8</v>
      </c>
      <c r="L58" s="185"/>
      <c r="M58" s="65">
        <f t="shared" si="6"/>
        <v>6</v>
      </c>
    </row>
    <row r="59" spans="1:13" ht="13.5" customHeight="1">
      <c r="A59" s="85">
        <v>15</v>
      </c>
      <c r="B59" s="101" t="str">
        <f>B35</f>
        <v>执行单元测试</v>
      </c>
      <c r="C59" s="101"/>
      <c r="D59" s="101"/>
      <c r="E59" s="101"/>
      <c r="F59" s="185">
        <f>M35</f>
        <v>36</v>
      </c>
      <c r="G59" s="185"/>
      <c r="H59" s="184" t="s">
        <v>236</v>
      </c>
      <c r="I59" s="184"/>
      <c r="J59" s="184"/>
      <c r="K59" s="185">
        <v>12</v>
      </c>
      <c r="L59" s="185"/>
      <c r="M59" s="65">
        <f t="shared" ref="M59" si="7">ROUNDUP(F59/K59,0)</f>
        <v>3</v>
      </c>
    </row>
  </sheetData>
  <mergeCells count="166">
    <mergeCell ref="A43:M43"/>
    <mergeCell ref="B59:E59"/>
    <mergeCell ref="F59:G59"/>
    <mergeCell ref="H59:J59"/>
    <mergeCell ref="K59:L59"/>
    <mergeCell ref="B35:E35"/>
    <mergeCell ref="F35:G35"/>
    <mergeCell ref="H35:I35"/>
    <mergeCell ref="B45:E45"/>
    <mergeCell ref="F45:G45"/>
    <mergeCell ref="H45:J45"/>
    <mergeCell ref="K45:L45"/>
    <mergeCell ref="B46:E46"/>
    <mergeCell ref="F46:G46"/>
    <mergeCell ref="H46:J46"/>
    <mergeCell ref="K46:L46"/>
    <mergeCell ref="B54:E54"/>
    <mergeCell ref="F54:G54"/>
    <mergeCell ref="H54:J54"/>
    <mergeCell ref="K54:L54"/>
    <mergeCell ref="H49:J49"/>
    <mergeCell ref="K49:L49"/>
    <mergeCell ref="H50:J50"/>
    <mergeCell ref="K50:L50"/>
    <mergeCell ref="B51:E51"/>
    <mergeCell ref="H56:J56"/>
    <mergeCell ref="K56:L56"/>
    <mergeCell ref="B47:E47"/>
    <mergeCell ref="F47:G47"/>
    <mergeCell ref="H47:J47"/>
    <mergeCell ref="K47:L47"/>
    <mergeCell ref="B48:E48"/>
    <mergeCell ref="F48:G48"/>
    <mergeCell ref="H48:J48"/>
    <mergeCell ref="K48:L48"/>
    <mergeCell ref="B49:E49"/>
    <mergeCell ref="F49:G49"/>
    <mergeCell ref="B50:E50"/>
    <mergeCell ref="F50:G50"/>
    <mergeCell ref="B52:E52"/>
    <mergeCell ref="F52:G52"/>
    <mergeCell ref="H52:J52"/>
    <mergeCell ref="K52:L52"/>
    <mergeCell ref="B53:E53"/>
    <mergeCell ref="B44:E44"/>
    <mergeCell ref="F44:G44"/>
    <mergeCell ref="H44:J44"/>
    <mergeCell ref="K44:L44"/>
    <mergeCell ref="B55:E55"/>
    <mergeCell ref="F55:G55"/>
    <mergeCell ref="H55:J55"/>
    <mergeCell ref="K55:L55"/>
    <mergeCell ref="B58:E58"/>
    <mergeCell ref="F58:G58"/>
    <mergeCell ref="H58:J58"/>
    <mergeCell ref="K58:L58"/>
    <mergeCell ref="B57:E57"/>
    <mergeCell ref="F57:G57"/>
    <mergeCell ref="H57:J57"/>
    <mergeCell ref="K57:L57"/>
    <mergeCell ref="F53:G53"/>
    <mergeCell ref="H53:J53"/>
    <mergeCell ref="K53:L53"/>
    <mergeCell ref="F51:G51"/>
    <mergeCell ref="H51:J51"/>
    <mergeCell ref="K51:L51"/>
    <mergeCell ref="B56:E56"/>
    <mergeCell ref="F56:G56"/>
    <mergeCell ref="B20:E20"/>
    <mergeCell ref="B21:E21"/>
    <mergeCell ref="F20:G20"/>
    <mergeCell ref="F21:G21"/>
    <mergeCell ref="H20:I20"/>
    <mergeCell ref="H21:I21"/>
    <mergeCell ref="B24:E24"/>
    <mergeCell ref="F24:G24"/>
    <mergeCell ref="H24:I24"/>
    <mergeCell ref="B22:E22"/>
    <mergeCell ref="F22:G22"/>
    <mergeCell ref="H22:I22"/>
    <mergeCell ref="B23:E23"/>
    <mergeCell ref="F23:G23"/>
    <mergeCell ref="H23:I23"/>
    <mergeCell ref="B29:E29"/>
    <mergeCell ref="B28:E28"/>
    <mergeCell ref="F28:G28"/>
    <mergeCell ref="H28:I28"/>
    <mergeCell ref="B27:E27"/>
    <mergeCell ref="F27:G27"/>
    <mergeCell ref="H27:I27"/>
    <mergeCell ref="B17:E17"/>
    <mergeCell ref="F17:G17"/>
    <mergeCell ref="H17:I17"/>
    <mergeCell ref="F29:G29"/>
    <mergeCell ref="H29:I29"/>
    <mergeCell ref="B26:E26"/>
    <mergeCell ref="F26:G26"/>
    <mergeCell ref="H26:I26"/>
    <mergeCell ref="B18:E18"/>
    <mergeCell ref="F18:G18"/>
    <mergeCell ref="H18:I18"/>
    <mergeCell ref="B19:E19"/>
    <mergeCell ref="F19:G19"/>
    <mergeCell ref="H19:I19"/>
    <mergeCell ref="B25:E25"/>
    <mergeCell ref="F25:G25"/>
    <mergeCell ref="H25:I25"/>
    <mergeCell ref="B16:E16"/>
    <mergeCell ref="F16:G16"/>
    <mergeCell ref="H16:I16"/>
    <mergeCell ref="M6:M7"/>
    <mergeCell ref="H7:I7"/>
    <mergeCell ref="B8:E8"/>
    <mergeCell ref="F8:G8"/>
    <mergeCell ref="H8:I8"/>
    <mergeCell ref="B2:E2"/>
    <mergeCell ref="B14:E14"/>
    <mergeCell ref="F14:G14"/>
    <mergeCell ref="H14:I14"/>
    <mergeCell ref="B15:E15"/>
    <mergeCell ref="F15:G15"/>
    <mergeCell ref="H15:I15"/>
    <mergeCell ref="B1:H1"/>
    <mergeCell ref="A3:C3"/>
    <mergeCell ref="D3:M3"/>
    <mergeCell ref="E5:M5"/>
    <mergeCell ref="I1:J1"/>
    <mergeCell ref="K1:M1"/>
    <mergeCell ref="G2:K2"/>
    <mergeCell ref="E4:M4"/>
    <mergeCell ref="A4:D5"/>
    <mergeCell ref="A6:A7"/>
    <mergeCell ref="B6:E7"/>
    <mergeCell ref="F6:G7"/>
    <mergeCell ref="H6:L6"/>
    <mergeCell ref="B13:E13"/>
    <mergeCell ref="F13:G13"/>
    <mergeCell ref="H13:I13"/>
    <mergeCell ref="B12:E12"/>
    <mergeCell ref="F12:G12"/>
    <mergeCell ref="H12:I12"/>
    <mergeCell ref="B11:E11"/>
    <mergeCell ref="F11:G11"/>
    <mergeCell ref="H11:I11"/>
    <mergeCell ref="B10:E10"/>
    <mergeCell ref="F10:G10"/>
    <mergeCell ref="H10:I10"/>
    <mergeCell ref="B9:E9"/>
    <mergeCell ref="F9:G9"/>
    <mergeCell ref="H9:I9"/>
    <mergeCell ref="B30:E30"/>
    <mergeCell ref="B31:E31"/>
    <mergeCell ref="A36:M40"/>
    <mergeCell ref="B34:E34"/>
    <mergeCell ref="F34:G34"/>
    <mergeCell ref="H34:I34"/>
    <mergeCell ref="H30:I30"/>
    <mergeCell ref="F31:G31"/>
    <mergeCell ref="H31:I31"/>
    <mergeCell ref="H33:I33"/>
    <mergeCell ref="B32:E32"/>
    <mergeCell ref="F32:G32"/>
    <mergeCell ref="H32:I32"/>
    <mergeCell ref="B33:E33"/>
    <mergeCell ref="F33:G33"/>
    <mergeCell ref="F30:G30"/>
  </mergeCells>
  <phoneticPr fontId="2" type="noConversion"/>
  <conditionalFormatting sqref="L8:L35">
    <cfRule type="cellIs" dxfId="1" priority="1" operator="notBetween">
      <formula>-0.2</formula>
      <formula>0.2</formula>
    </cfRule>
    <cfRule type="cellIs" priority="2" operator="notBetween">
      <formula>-0.2</formula>
      <formula>0.2</formula>
    </cfRule>
  </conditionalFormatting>
  <pageMargins left="0.25" right="0.25" top="0.75" bottom="0.75" header="0.3" footer="0.3"/>
  <pageSetup paperSize="9" orientation="portrait" r:id="rId1"/>
  <headerFooter>
    <oddHeader>&amp;C&amp;16估计汇总表（文档相关）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1"/>
  <sheetViews>
    <sheetView view="pageLayout" topLeftCell="A22" zoomScaleNormal="100" workbookViewId="0">
      <selection activeCell="M38" sqref="M38"/>
    </sheetView>
  </sheetViews>
  <sheetFormatPr baseColWidth="10" defaultColWidth="8.83203125" defaultRowHeight="14"/>
  <cols>
    <col min="2" max="2" width="7.1640625" customWidth="1"/>
    <col min="3" max="3" width="3.1640625" customWidth="1"/>
    <col min="4" max="4" width="5.83203125" customWidth="1"/>
    <col min="5" max="5" width="13.83203125" customWidth="1"/>
    <col min="6" max="6" width="9.6640625" customWidth="1"/>
    <col min="7" max="7" width="1.6640625" customWidth="1"/>
    <col min="8" max="8" width="3.83203125" customWidth="1"/>
    <col min="9" max="9" width="3.5" customWidth="1"/>
    <col min="10" max="10" width="7.33203125" customWidth="1"/>
    <col min="11" max="11" width="4.33203125" customWidth="1"/>
    <col min="12" max="12" width="2.6640625" customWidth="1"/>
    <col min="13" max="13" width="8.6640625" customWidth="1"/>
    <col min="14" max="14" width="1" customWidth="1"/>
    <col min="15" max="15" width="8.1640625" customWidth="1"/>
  </cols>
  <sheetData>
    <row r="1" spans="1:15" ht="31.25" customHeight="1" thickTop="1">
      <c r="A1" s="1" t="s">
        <v>0</v>
      </c>
      <c r="B1" s="169" t="s">
        <v>254</v>
      </c>
      <c r="C1" s="170"/>
      <c r="D1" s="170"/>
      <c r="E1" s="170"/>
      <c r="F1" s="170"/>
      <c r="G1" s="170"/>
      <c r="H1" s="171"/>
      <c r="I1" s="173" t="s">
        <v>1</v>
      </c>
      <c r="J1" s="173"/>
      <c r="K1" s="143" t="s">
        <v>242</v>
      </c>
      <c r="L1" s="143"/>
      <c r="M1" s="143"/>
      <c r="N1" s="143"/>
      <c r="O1" s="190"/>
    </row>
    <row r="2" spans="1:15" ht="38" customHeight="1">
      <c r="A2" s="2" t="s">
        <v>2</v>
      </c>
      <c r="B2" s="164" t="str">
        <f>代码规模及工作量估计!B2&amp;代码规模及工作量估计!N2&amp;代码规模及工作量估计!B26&amp;代码规模及工作量估计!N26</f>
        <v>穆笑岩张晓丰刁鹏孙贵磊</v>
      </c>
      <c r="C2" s="183"/>
      <c r="D2" s="183"/>
      <c r="E2" s="165"/>
      <c r="F2" s="3" t="s">
        <v>3</v>
      </c>
      <c r="G2" s="191" t="s">
        <v>157</v>
      </c>
      <c r="H2" s="191"/>
      <c r="I2" s="175"/>
      <c r="J2" s="175"/>
      <c r="K2" s="175"/>
      <c r="L2" s="167" t="s">
        <v>4</v>
      </c>
      <c r="M2" s="167"/>
      <c r="N2" s="100">
        <f>代码规模及工作量估计!K2</f>
        <v>1</v>
      </c>
      <c r="O2" s="127"/>
    </row>
    <row r="3" spans="1:15" ht="34.25" customHeight="1">
      <c r="A3" s="166" t="s">
        <v>5</v>
      </c>
      <c r="B3" s="167"/>
      <c r="C3" s="167"/>
      <c r="D3" s="100" t="str">
        <f>代码规模及工作量估计!D3</f>
        <v>专家估计法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27"/>
    </row>
    <row r="4" spans="1:15" ht="158" customHeight="1">
      <c r="A4" s="176" t="s">
        <v>6</v>
      </c>
      <c r="B4" s="177"/>
      <c r="C4" s="177"/>
      <c r="D4" s="178"/>
      <c r="E4" s="100" t="str">
        <f>代码规模及工作量估计!D4</f>
        <v>代码规模估计基于：
1）软件源代码的度量按源代码行（LOC）计算，只考虑有效代码行，不考虑注释。
2）软件采用B/S架构，国产化麒麟系统和达梦数据库，代码编写采用C++、Java和JS语言，使用微软VS Code和IDEA开发工具；
3）参考XXXXXX的开发经验和规模经验；
4）参考软件研制任务书中的功能点数量；
5）只对可能发生变化或新增的软件工作产品进行估计。
6）专家法估计偏差阈值按20%考虑。</v>
      </c>
      <c r="F4" s="100"/>
      <c r="G4" s="100"/>
      <c r="H4" s="100"/>
      <c r="I4" s="100"/>
      <c r="J4" s="100"/>
      <c r="K4" s="100"/>
      <c r="L4" s="100"/>
      <c r="M4" s="100"/>
      <c r="N4" s="100"/>
      <c r="O4" s="127"/>
    </row>
    <row r="5" spans="1:15" ht="111" customHeight="1">
      <c r="A5" s="179"/>
      <c r="B5" s="180"/>
      <c r="C5" s="180"/>
      <c r="D5" s="181"/>
      <c r="E5" s="100" t="str">
        <f>代码规模及工作量估计!D5</f>
        <v>编码、单元测试及软件BUG修改的工作量估计基于：
1）编码人员均有仿真类和评估类项目的开发经验，且熟悉B/S架构的开发模式；
2）参考XXXXXX和XXXXXX中期评估项目的开发经验和规模经验；
3）参考代码估计规模；
4）专家法估计偏差阈值按20%考虑。</v>
      </c>
      <c r="F5" s="100"/>
      <c r="G5" s="100"/>
      <c r="H5" s="100"/>
      <c r="I5" s="100"/>
      <c r="J5" s="100"/>
      <c r="K5" s="100"/>
      <c r="L5" s="100"/>
      <c r="M5" s="100"/>
      <c r="N5" s="100"/>
      <c r="O5" s="127"/>
    </row>
    <row r="6" spans="1:15">
      <c r="A6" s="166" t="s">
        <v>7</v>
      </c>
      <c r="B6" s="167" t="s">
        <v>8</v>
      </c>
      <c r="C6" s="167"/>
      <c r="D6" s="167"/>
      <c r="E6" s="167"/>
      <c r="F6" s="167" t="s">
        <v>9</v>
      </c>
      <c r="G6" s="167"/>
      <c r="H6" s="168" t="s">
        <v>10</v>
      </c>
      <c r="I6" s="168"/>
      <c r="J6" s="168"/>
      <c r="K6" s="168"/>
      <c r="L6" s="168"/>
      <c r="M6" s="168"/>
      <c r="N6" s="168"/>
      <c r="O6" s="189" t="s">
        <v>49</v>
      </c>
    </row>
    <row r="7" spans="1:15" ht="15.5" customHeight="1">
      <c r="A7" s="166"/>
      <c r="B7" s="167"/>
      <c r="C7" s="167"/>
      <c r="D7" s="167"/>
      <c r="E7" s="167"/>
      <c r="F7" s="167"/>
      <c r="G7" s="167"/>
      <c r="H7" s="167" t="s">
        <v>18</v>
      </c>
      <c r="I7" s="167"/>
      <c r="J7" s="72" t="s">
        <v>19</v>
      </c>
      <c r="K7" s="167" t="s">
        <v>20</v>
      </c>
      <c r="L7" s="167"/>
      <c r="M7" s="167" t="s">
        <v>21</v>
      </c>
      <c r="N7" s="167"/>
      <c r="O7" s="189"/>
    </row>
    <row r="8" spans="1:15" ht="15.5" customHeight="1">
      <c r="A8" s="70">
        <v>24</v>
      </c>
      <c r="B8" s="204"/>
      <c r="C8" s="198">
        <f>代码规模及工作量估计!B32</f>
        <v>1</v>
      </c>
      <c r="D8" s="199"/>
      <c r="E8" s="200"/>
      <c r="F8" s="193"/>
      <c r="G8" s="193"/>
      <c r="H8" s="194">
        <f>(代码规模及工作量估计!G8+代码规模及工作量估计!S8+代码规模及工作量估计!G32+代码规模及工作量估计!S32)/4</f>
        <v>1950</v>
      </c>
      <c r="I8" s="195"/>
      <c r="J8" s="92">
        <f>MAX(代码规模及工作量估计!G32,代码规模及工作量估计!S32,代码规模及工作量估计!G8,代码规模及工作量估计!S8)</f>
        <v>2200</v>
      </c>
      <c r="K8" s="196">
        <f>MIN(代码规模及工作量估计!G8,代码规模及工作量估计!S8,代码规模及工作量估计!G32,代码规模及工作量估计!S32)</f>
        <v>1800</v>
      </c>
      <c r="L8" s="197"/>
      <c r="M8" s="192">
        <f t="shared" ref="M8:M11" si="0">MAX(ABS(J8-H8),ABS(K8-H8))/H8</f>
        <v>0.12820512820512819</v>
      </c>
      <c r="N8" s="192"/>
      <c r="O8" s="60">
        <f t="shared" ref="O8:O16" si="1">ROUND(H8,0)</f>
        <v>1950</v>
      </c>
    </row>
    <row r="9" spans="1:15" ht="15.5" customHeight="1">
      <c r="A9" s="70">
        <v>25</v>
      </c>
      <c r="B9" s="204"/>
      <c r="C9" s="198">
        <f>代码规模及工作量估计!B33</f>
        <v>2</v>
      </c>
      <c r="D9" s="199"/>
      <c r="E9" s="200"/>
      <c r="F9" s="193"/>
      <c r="G9" s="193"/>
      <c r="H9" s="194">
        <f>(代码规模及工作量估计!G9+代码规模及工作量估计!S9+代码规模及工作量估计!G33+代码规模及工作量估计!S33)/4</f>
        <v>8500</v>
      </c>
      <c r="I9" s="195"/>
      <c r="J9" s="92">
        <f>MAX(代码规模及工作量估计!G33,代码规模及工作量估计!S33,代码规模及工作量估计!G9,代码规模及工作量估计!S9)</f>
        <v>9000</v>
      </c>
      <c r="K9" s="196">
        <f>MIN(代码规模及工作量估计!G9,代码规模及工作量估计!S9,代码规模及工作量估计!G33,代码规模及工作量估计!S33)</f>
        <v>8000</v>
      </c>
      <c r="L9" s="197"/>
      <c r="M9" s="192">
        <f t="shared" si="0"/>
        <v>5.8823529411764705E-2</v>
      </c>
      <c r="N9" s="192"/>
      <c r="O9" s="60">
        <f t="shared" si="1"/>
        <v>8500</v>
      </c>
    </row>
    <row r="10" spans="1:15" ht="15.5" customHeight="1">
      <c r="A10" s="70">
        <v>26</v>
      </c>
      <c r="B10" s="204"/>
      <c r="C10" s="198">
        <f>代码规模及工作量估计!B34</f>
        <v>3</v>
      </c>
      <c r="D10" s="199"/>
      <c r="E10" s="200"/>
      <c r="F10" s="193"/>
      <c r="G10" s="193"/>
      <c r="H10" s="194">
        <f>(代码规模及工作量估计!G10+代码规模及工作量估计!S10+代码规模及工作量估计!G34+代码规模及工作量估计!S34)/4</f>
        <v>13500</v>
      </c>
      <c r="I10" s="195"/>
      <c r="J10" s="92">
        <f>MAX(代码规模及工作量估计!G34,代码规模及工作量估计!S34,代码规模及工作量估计!G10,代码规模及工作量估计!S10)</f>
        <v>15000</v>
      </c>
      <c r="K10" s="196">
        <f>MIN(代码规模及工作量估计!G10,代码规模及工作量估计!S10,代码规模及工作量估计!G34,代码规模及工作量估计!S34)</f>
        <v>12000</v>
      </c>
      <c r="L10" s="197"/>
      <c r="M10" s="192">
        <f t="shared" si="0"/>
        <v>0.1111111111111111</v>
      </c>
      <c r="N10" s="192"/>
      <c r="O10" s="60">
        <f t="shared" si="1"/>
        <v>13500</v>
      </c>
    </row>
    <row r="11" spans="1:15" ht="15.5" customHeight="1">
      <c r="A11" s="70">
        <v>27</v>
      </c>
      <c r="B11" s="204"/>
      <c r="C11" s="198">
        <f>代码规模及工作量估计!B35</f>
        <v>4</v>
      </c>
      <c r="D11" s="199"/>
      <c r="E11" s="200"/>
      <c r="F11" s="193"/>
      <c r="G11" s="193"/>
      <c r="H11" s="194">
        <f>(代码规模及工作量估计!G11+代码规模及工作量估计!S11+代码规模及工作量估计!G35+代码规模及工作量估计!S35)/4</f>
        <v>3825</v>
      </c>
      <c r="I11" s="195"/>
      <c r="J11" s="92">
        <f>MAX(代码规模及工作量估计!G35,代码规模及工作量估计!S35,代码规模及工作量估计!G11,代码规模及工作量估计!S11)</f>
        <v>4000</v>
      </c>
      <c r="K11" s="196">
        <f>MIN(代码规模及工作量估计!G11,代码规模及工作量估计!S11,代码规模及工作量估计!G35,代码规模及工作量估计!S35)</f>
        <v>3500</v>
      </c>
      <c r="L11" s="197"/>
      <c r="M11" s="192">
        <f t="shared" si="0"/>
        <v>8.4967320261437912E-2</v>
      </c>
      <c r="N11" s="192"/>
      <c r="O11" s="60">
        <f t="shared" si="1"/>
        <v>3825</v>
      </c>
    </row>
    <row r="12" spans="1:15" ht="15.5" customHeight="1">
      <c r="A12" s="70">
        <v>28</v>
      </c>
      <c r="B12" s="102" t="str">
        <f>代码规模及工作量估计!B12</f>
        <v>1代码实现</v>
      </c>
      <c r="C12" s="152"/>
      <c r="D12" s="152"/>
      <c r="E12" s="106"/>
      <c r="F12" s="193" t="str">
        <f>代码规模及工作量估计!F12</f>
        <v>人时</v>
      </c>
      <c r="G12" s="193"/>
      <c r="H12" s="194">
        <f>(代码规模及工作量估计!G12+代码规模及工作量估计!S12+代码规模及工作量估计!G36+代码规模及工作量估计!S36)/4</f>
        <v>48.75</v>
      </c>
      <c r="I12" s="195"/>
      <c r="J12" s="92">
        <f>MAX(代码规模及工作量估计!G36,代码规模及工作量估计!S36,代码规模及工作量估计!G12,代码规模及工作量估计!S12)</f>
        <v>55</v>
      </c>
      <c r="K12" s="196">
        <f>MIN(代码规模及工作量估计!G12,代码规模及工作量估计!S12,代码规模及工作量估计!G36,代码规模及工作量估计!S36)</f>
        <v>45</v>
      </c>
      <c r="L12" s="197"/>
      <c r="M12" s="192">
        <f t="shared" ref="M12:M15" si="2">MAX(ABS(J12-H12),ABS(K12-H12))/H12</f>
        <v>0.12820512820512819</v>
      </c>
      <c r="N12" s="192"/>
      <c r="O12" s="60">
        <f t="shared" si="1"/>
        <v>49</v>
      </c>
    </row>
    <row r="13" spans="1:15" ht="15.5" customHeight="1">
      <c r="A13" s="70">
        <v>29</v>
      </c>
      <c r="B13" s="102" t="str">
        <f>代码规模及工作量估计!B13</f>
        <v>2代码实现</v>
      </c>
      <c r="C13" s="152"/>
      <c r="D13" s="152"/>
      <c r="E13" s="106"/>
      <c r="F13" s="193" t="str">
        <f>代码规模及工作量估计!F13</f>
        <v>人时</v>
      </c>
      <c r="G13" s="193"/>
      <c r="H13" s="194">
        <f>(代码规模及工作量估计!G13+代码规模及工作量估计!S13+代码规模及工作量估计!G37+代码规模及工作量估计!S37)/4</f>
        <v>142</v>
      </c>
      <c r="I13" s="195"/>
      <c r="J13" s="92">
        <f>MAX(代码规模及工作量估计!G37,代码规模及工作量估计!S37,代码规模及工作量估计!G13,代码规模及工作量估计!S13)</f>
        <v>150</v>
      </c>
      <c r="K13" s="196">
        <f>MIN(代码规模及工作量估计!G13,代码规模及工作量估计!S13,代码规模及工作量估计!G37,代码规模及工作量估计!S37)</f>
        <v>134</v>
      </c>
      <c r="L13" s="197"/>
      <c r="M13" s="192">
        <f t="shared" si="2"/>
        <v>5.6338028169014086E-2</v>
      </c>
      <c r="N13" s="192"/>
      <c r="O13" s="60">
        <f t="shared" si="1"/>
        <v>142</v>
      </c>
    </row>
    <row r="14" spans="1:15" ht="15.5" customHeight="1">
      <c r="A14" s="70">
        <v>30</v>
      </c>
      <c r="B14" s="102" t="str">
        <f>代码规模及工作量估计!B14</f>
        <v>3代码实现</v>
      </c>
      <c r="C14" s="152"/>
      <c r="D14" s="152"/>
      <c r="E14" s="106"/>
      <c r="F14" s="193" t="str">
        <f>代码规模及工作量估计!F14</f>
        <v>人时</v>
      </c>
      <c r="G14" s="193"/>
      <c r="H14" s="194">
        <f>(代码规模及工作量估计!G14+代码规模及工作量估计!S14+代码规模及工作量估计!G38+代码规模及工作量估计!S38)/4</f>
        <v>225.25</v>
      </c>
      <c r="I14" s="195"/>
      <c r="J14" s="92">
        <f>MAX(代码规模及工作量估计!G38,代码规模及工作量估计!S38,代码规模及工作量估计!G14,代码规模及工作量估计!S14)</f>
        <v>250</v>
      </c>
      <c r="K14" s="196">
        <f>MIN(代码规模及工作量估计!G14,代码规模及工作量估计!S14,代码规模及工作量估计!G38,代码规模及工作量估计!S38)</f>
        <v>200</v>
      </c>
      <c r="L14" s="197"/>
      <c r="M14" s="192">
        <f t="shared" si="2"/>
        <v>0.1120976692563818</v>
      </c>
      <c r="N14" s="192"/>
      <c r="O14" s="60">
        <f t="shared" si="1"/>
        <v>225</v>
      </c>
    </row>
    <row r="15" spans="1:15" ht="15.5" customHeight="1">
      <c r="A15" s="70">
        <v>31</v>
      </c>
      <c r="B15" s="102" t="str">
        <f>代码规模及工作量估计!B15</f>
        <v>4代码实现</v>
      </c>
      <c r="C15" s="152"/>
      <c r="D15" s="152"/>
      <c r="E15" s="106"/>
      <c r="F15" s="193" t="str">
        <f>代码规模及工作量估计!F15</f>
        <v>人时</v>
      </c>
      <c r="G15" s="193"/>
      <c r="H15" s="194">
        <f>(代码规模及工作量估计!G15+代码规模及工作量估计!S15+代码规模及工作量估计!G39+代码规模及工作量估计!S39)/4</f>
        <v>64.25</v>
      </c>
      <c r="I15" s="195"/>
      <c r="J15" s="92">
        <f>MAX(代码规模及工作量估计!G39,代码规模及工作量估计!S39,代码规模及工作量估计!G15,代码规模及工作量估计!S15)</f>
        <v>67</v>
      </c>
      <c r="K15" s="196">
        <f>MIN(代码规模及工作量估计!G15,代码规模及工作量估计!S15,代码规模及工作量估计!G39,代码规模及工作量估计!S39)</f>
        <v>59</v>
      </c>
      <c r="L15" s="197"/>
      <c r="M15" s="192">
        <f t="shared" si="2"/>
        <v>8.171206225680934E-2</v>
      </c>
      <c r="N15" s="192"/>
      <c r="O15" s="60">
        <f t="shared" si="1"/>
        <v>64</v>
      </c>
    </row>
    <row r="16" spans="1:15" ht="15.5" customHeight="1">
      <c r="A16" s="70">
        <v>37</v>
      </c>
      <c r="B16" s="102" t="str">
        <f>代码规模及工作量估计!B16</f>
        <v>合格性测试bug修改</v>
      </c>
      <c r="C16" s="152"/>
      <c r="D16" s="152"/>
      <c r="E16" s="106"/>
      <c r="F16" s="193" t="str">
        <f>代码规模及工作量估计!F16</f>
        <v>人时</v>
      </c>
      <c r="G16" s="193"/>
      <c r="H16" s="194">
        <f>(代码规模及工作量估计!G16+代码规模及工作量估计!S16+代码规模及工作量估计!G40+代码规模及工作量估计!S40)/4</f>
        <v>39</v>
      </c>
      <c r="I16" s="195"/>
      <c r="J16" s="92">
        <f>MAX(代码规模及工作量估计!G40,代码规模及工作量估计!S40,代码规模及工作量估计!G16,代码规模及工作量估计!S16)</f>
        <v>45</v>
      </c>
      <c r="K16" s="196">
        <f>MIN(代码规模及工作量估计!G16,代码规模及工作量估计!S16,代码规模及工作量估计!G40,代码规模及工作量估计!S40)</f>
        <v>35</v>
      </c>
      <c r="L16" s="197"/>
      <c r="M16" s="192">
        <f t="shared" ref="M16" si="3">MAX(ABS(J16-H16),ABS(K16-H16))/H16</f>
        <v>0.15384615384615385</v>
      </c>
      <c r="N16" s="192"/>
      <c r="O16" s="60">
        <f t="shared" si="1"/>
        <v>39</v>
      </c>
    </row>
    <row r="17" spans="1:15">
      <c r="A17" s="155" t="s">
        <v>22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201"/>
    </row>
    <row r="18" spans="1:15">
      <c r="A18" s="158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202"/>
    </row>
    <row r="19" spans="1:15">
      <c r="A19" s="158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202"/>
    </row>
    <row r="20" spans="1:15" ht="58.25" customHeight="1">
      <c r="A20" s="158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202"/>
    </row>
    <row r="21" spans="1:15" ht="15" thickBot="1">
      <c r="A21" s="161"/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203"/>
    </row>
    <row r="28" spans="1:15" ht="36" customHeight="1">
      <c r="A28" s="324" t="s">
        <v>266</v>
      </c>
      <c r="B28" s="324"/>
      <c r="C28" s="324"/>
      <c r="D28" s="324"/>
      <c r="E28" s="324"/>
      <c r="F28" s="324"/>
      <c r="G28" s="324"/>
      <c r="H28" s="324"/>
      <c r="I28" s="324"/>
      <c r="J28" s="324"/>
      <c r="K28" s="324"/>
      <c r="L28" s="324"/>
      <c r="M28" s="324"/>
      <c r="N28" s="324"/>
      <c r="O28" s="324"/>
    </row>
    <row r="29" spans="1:15" ht="40.5" customHeight="1">
      <c r="A29" s="82" t="s">
        <v>181</v>
      </c>
      <c r="B29" s="184" t="s">
        <v>182</v>
      </c>
      <c r="C29" s="184"/>
      <c r="D29" s="184"/>
      <c r="E29" s="184"/>
      <c r="F29" s="184" t="s">
        <v>183</v>
      </c>
      <c r="G29" s="184"/>
      <c r="H29" s="184" t="s">
        <v>184</v>
      </c>
      <c r="I29" s="184"/>
      <c r="J29" s="184"/>
      <c r="K29" s="186" t="s">
        <v>186</v>
      </c>
      <c r="L29" s="187"/>
      <c r="M29" s="187"/>
      <c r="N29" s="188"/>
      <c r="O29" s="82" t="s">
        <v>185</v>
      </c>
    </row>
    <row r="30" spans="1:15" ht="28.25" customHeight="1">
      <c r="A30" s="85">
        <v>1</v>
      </c>
      <c r="B30" s="101" t="str">
        <f>B12</f>
        <v>1代码实现</v>
      </c>
      <c r="C30" s="101"/>
      <c r="D30" s="101"/>
      <c r="E30" s="101"/>
      <c r="F30" s="185">
        <f>O12</f>
        <v>49</v>
      </c>
      <c r="G30" s="185"/>
      <c r="H30" s="184" t="s">
        <v>246</v>
      </c>
      <c r="I30" s="184"/>
      <c r="J30" s="184"/>
      <c r="K30" s="164">
        <v>10</v>
      </c>
      <c r="L30" s="183"/>
      <c r="M30" s="183"/>
      <c r="N30" s="165"/>
      <c r="O30" s="65">
        <f t="shared" ref="O30:O34" si="4">ROUNDUP(F30/K30,0)</f>
        <v>5</v>
      </c>
    </row>
    <row r="31" spans="1:15" ht="28.25" customHeight="1">
      <c r="A31" s="85">
        <v>2</v>
      </c>
      <c r="B31" s="101" t="str">
        <f>B13</f>
        <v>2代码实现</v>
      </c>
      <c r="C31" s="101"/>
      <c r="D31" s="101"/>
      <c r="E31" s="101"/>
      <c r="F31" s="185">
        <f>O13</f>
        <v>142</v>
      </c>
      <c r="G31" s="185"/>
      <c r="H31" s="184" t="s">
        <v>243</v>
      </c>
      <c r="I31" s="184"/>
      <c r="J31" s="184"/>
      <c r="K31" s="164">
        <v>10</v>
      </c>
      <c r="L31" s="183"/>
      <c r="M31" s="183"/>
      <c r="N31" s="165"/>
      <c r="O31" s="65">
        <f t="shared" si="4"/>
        <v>15</v>
      </c>
    </row>
    <row r="32" spans="1:15" ht="28.25" customHeight="1">
      <c r="A32" s="85">
        <v>3</v>
      </c>
      <c r="B32" s="101" t="str">
        <f>B14</f>
        <v>3代码实现</v>
      </c>
      <c r="C32" s="101"/>
      <c r="D32" s="101"/>
      <c r="E32" s="101"/>
      <c r="F32" s="185">
        <f>O14</f>
        <v>225</v>
      </c>
      <c r="G32" s="185"/>
      <c r="H32" s="184" t="s">
        <v>244</v>
      </c>
      <c r="I32" s="184"/>
      <c r="J32" s="184"/>
      <c r="K32" s="164">
        <v>18</v>
      </c>
      <c r="L32" s="183"/>
      <c r="M32" s="183"/>
      <c r="N32" s="165"/>
      <c r="O32" s="65">
        <f t="shared" si="4"/>
        <v>13</v>
      </c>
    </row>
    <row r="33" spans="1:15" ht="28.25" customHeight="1">
      <c r="A33" s="85">
        <v>4</v>
      </c>
      <c r="B33" s="101" t="str">
        <f>B15</f>
        <v>4代码实现</v>
      </c>
      <c r="C33" s="101"/>
      <c r="D33" s="101"/>
      <c r="E33" s="101"/>
      <c r="F33" s="185">
        <f>O15</f>
        <v>64</v>
      </c>
      <c r="G33" s="185"/>
      <c r="H33" s="184" t="s">
        <v>245</v>
      </c>
      <c r="I33" s="184"/>
      <c r="J33" s="184"/>
      <c r="K33" s="164">
        <v>12</v>
      </c>
      <c r="L33" s="183"/>
      <c r="M33" s="183"/>
      <c r="N33" s="165"/>
      <c r="O33" s="65">
        <f t="shared" si="4"/>
        <v>6</v>
      </c>
    </row>
    <row r="34" spans="1:15" ht="33" customHeight="1">
      <c r="A34" s="85">
        <v>9</v>
      </c>
      <c r="B34" s="101" t="str">
        <f>B16</f>
        <v>合格性测试bug修改</v>
      </c>
      <c r="C34" s="101"/>
      <c r="D34" s="101"/>
      <c r="E34" s="101"/>
      <c r="F34" s="185">
        <f>O16</f>
        <v>39</v>
      </c>
      <c r="G34" s="185"/>
      <c r="H34" s="184" t="s">
        <v>247</v>
      </c>
      <c r="I34" s="184"/>
      <c r="J34" s="184"/>
      <c r="K34" s="164">
        <v>10</v>
      </c>
      <c r="L34" s="183"/>
      <c r="M34" s="183"/>
      <c r="N34" s="165"/>
      <c r="O34" s="65">
        <f t="shared" si="4"/>
        <v>4</v>
      </c>
    </row>
    <row r="41" spans="1:15">
      <c r="E41" t="s">
        <v>192</v>
      </c>
    </row>
  </sheetData>
  <mergeCells count="92">
    <mergeCell ref="C11:E11"/>
    <mergeCell ref="M13:N13"/>
    <mergeCell ref="B15:E15"/>
    <mergeCell ref="F15:G15"/>
    <mergeCell ref="B8:B11"/>
    <mergeCell ref="M9:N9"/>
    <mergeCell ref="K15:L15"/>
    <mergeCell ref="M15:N15"/>
    <mergeCell ref="H15:I15"/>
    <mergeCell ref="B14:E14"/>
    <mergeCell ref="F14:G14"/>
    <mergeCell ref="H14:I14"/>
    <mergeCell ref="K14:L14"/>
    <mergeCell ref="M14:N14"/>
    <mergeCell ref="B34:E34"/>
    <mergeCell ref="M8:N8"/>
    <mergeCell ref="B12:E12"/>
    <mergeCell ref="A17:O21"/>
    <mergeCell ref="B16:E16"/>
    <mergeCell ref="F16:G16"/>
    <mergeCell ref="H16:I16"/>
    <mergeCell ref="K16:L16"/>
    <mergeCell ref="M16:N16"/>
    <mergeCell ref="F12:G12"/>
    <mergeCell ref="H12:I12"/>
    <mergeCell ref="K12:L12"/>
    <mergeCell ref="M12:N12"/>
    <mergeCell ref="B13:E13"/>
    <mergeCell ref="F13:G13"/>
    <mergeCell ref="H13:I13"/>
    <mergeCell ref="B33:E33"/>
    <mergeCell ref="F33:G33"/>
    <mergeCell ref="H33:J33"/>
    <mergeCell ref="K33:N33"/>
    <mergeCell ref="B31:E31"/>
    <mergeCell ref="F31:G31"/>
    <mergeCell ref="B32:E32"/>
    <mergeCell ref="F32:G32"/>
    <mergeCell ref="H32:J32"/>
    <mergeCell ref="K32:N32"/>
    <mergeCell ref="H31:J31"/>
    <mergeCell ref="K31:N31"/>
    <mergeCell ref="B29:E29"/>
    <mergeCell ref="F29:G29"/>
    <mergeCell ref="H29:J29"/>
    <mergeCell ref="B30:E30"/>
    <mergeCell ref="F30:G30"/>
    <mergeCell ref="H30:J30"/>
    <mergeCell ref="F34:G34"/>
    <mergeCell ref="H34:J34"/>
    <mergeCell ref="F10:G10"/>
    <mergeCell ref="H10:I10"/>
    <mergeCell ref="K10:L10"/>
    <mergeCell ref="K34:N34"/>
    <mergeCell ref="K29:N29"/>
    <mergeCell ref="K30:N30"/>
    <mergeCell ref="K13:L13"/>
    <mergeCell ref="A28:O28"/>
    <mergeCell ref="A6:A7"/>
    <mergeCell ref="B6:E7"/>
    <mergeCell ref="M10:N10"/>
    <mergeCell ref="F11:G11"/>
    <mergeCell ref="H11:I11"/>
    <mergeCell ref="K11:L11"/>
    <mergeCell ref="M11:N11"/>
    <mergeCell ref="C9:E9"/>
    <mergeCell ref="C10:E10"/>
    <mergeCell ref="F8:G8"/>
    <mergeCell ref="H8:I8"/>
    <mergeCell ref="K8:L8"/>
    <mergeCell ref="C8:E8"/>
    <mergeCell ref="F9:G9"/>
    <mergeCell ref="H9:I9"/>
    <mergeCell ref="K9:L9"/>
    <mergeCell ref="E4:O4"/>
    <mergeCell ref="A4:D5"/>
    <mergeCell ref="A3:C3"/>
    <mergeCell ref="D3:O3"/>
    <mergeCell ref="E5:O5"/>
    <mergeCell ref="B1:H1"/>
    <mergeCell ref="I1:J1"/>
    <mergeCell ref="K1:O1"/>
    <mergeCell ref="B2:E2"/>
    <mergeCell ref="G2:K2"/>
    <mergeCell ref="L2:M2"/>
    <mergeCell ref="N2:O2"/>
    <mergeCell ref="F6:G7"/>
    <mergeCell ref="H6:N6"/>
    <mergeCell ref="O6:O7"/>
    <mergeCell ref="H7:I7"/>
    <mergeCell ref="K7:L7"/>
    <mergeCell ref="M7:N7"/>
  </mergeCells>
  <phoneticPr fontId="2" type="noConversion"/>
  <conditionalFormatting sqref="M8:N16">
    <cfRule type="cellIs" dxfId="0" priority="7" operator="notBetween">
      <formula>-0.2</formula>
      <formula>0.2</formula>
    </cfRule>
  </conditionalFormatting>
  <pageMargins left="0.25" right="0.25" top="0.75" bottom="0.75" header="0.3" footer="0.3"/>
  <pageSetup paperSize="9" orientation="portrait" r:id="rId1"/>
  <headerFooter>
    <oddHeader>&amp;C&amp;16估计汇总表（代码相关）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view="pageLayout" zoomScaleNormal="100" workbookViewId="0">
      <selection activeCell="E13" sqref="E13"/>
    </sheetView>
  </sheetViews>
  <sheetFormatPr baseColWidth="10" defaultColWidth="8.83203125" defaultRowHeight="14"/>
  <cols>
    <col min="1" max="1" width="14.33203125" customWidth="1"/>
    <col min="2" max="2" width="9.33203125" customWidth="1"/>
    <col min="3" max="3" width="22.5" customWidth="1"/>
    <col min="4" max="4" width="10.6640625" customWidth="1"/>
    <col min="5" max="5" width="15.5" customWidth="1"/>
  </cols>
  <sheetData>
    <row r="1" spans="1:6" ht="16" thickTop="1">
      <c r="A1" s="32" t="s">
        <v>42</v>
      </c>
      <c r="B1" s="215" t="s">
        <v>254</v>
      </c>
      <c r="C1" s="215"/>
      <c r="D1" s="33" t="s">
        <v>130</v>
      </c>
      <c r="E1" s="217" t="s">
        <v>242</v>
      </c>
      <c r="F1" s="218"/>
    </row>
    <row r="2" spans="1:6" ht="15">
      <c r="A2" s="36" t="s">
        <v>56</v>
      </c>
      <c r="B2" s="216" t="s">
        <v>132</v>
      </c>
      <c r="C2" s="207"/>
      <c r="D2" s="35" t="s">
        <v>55</v>
      </c>
      <c r="E2" s="219" t="s">
        <v>191</v>
      </c>
      <c r="F2" s="220"/>
    </row>
    <row r="3" spans="1:6" ht="42.5" customHeight="1">
      <c r="A3" s="58" t="s">
        <v>141</v>
      </c>
      <c r="B3" s="209" t="s">
        <v>148</v>
      </c>
      <c r="C3" s="210"/>
      <c r="D3" s="210"/>
      <c r="E3" s="210"/>
      <c r="F3" s="211"/>
    </row>
    <row r="4" spans="1:6">
      <c r="A4" s="212" t="s">
        <v>131</v>
      </c>
      <c r="B4" s="213"/>
      <c r="C4" s="213"/>
      <c r="D4" s="213"/>
      <c r="E4" s="213"/>
      <c r="F4" s="214"/>
    </row>
    <row r="5" spans="1:6" ht="30">
      <c r="A5" s="36"/>
      <c r="B5" s="35" t="s">
        <v>65</v>
      </c>
      <c r="C5" s="35" t="s">
        <v>66</v>
      </c>
      <c r="D5" s="35" t="s">
        <v>143</v>
      </c>
      <c r="E5" s="35" t="s">
        <v>146</v>
      </c>
      <c r="F5" s="35" t="s">
        <v>142</v>
      </c>
    </row>
    <row r="6" spans="1:6" ht="17" customHeight="1">
      <c r="A6" s="208" t="s">
        <v>68</v>
      </c>
      <c r="B6" s="207">
        <v>1.5</v>
      </c>
      <c r="C6" s="9" t="s">
        <v>152</v>
      </c>
      <c r="D6" s="9">
        <f>E6*F6</f>
        <v>1</v>
      </c>
      <c r="E6" s="9">
        <v>1</v>
      </c>
      <c r="F6" s="59">
        <v>1</v>
      </c>
    </row>
    <row r="7" spans="1:6" ht="15">
      <c r="A7" s="208"/>
      <c r="B7" s="207"/>
      <c r="C7" s="9" t="s">
        <v>69</v>
      </c>
      <c r="D7" s="9">
        <f>E7*F7</f>
        <v>0.5</v>
      </c>
      <c r="E7" s="9">
        <v>0.5</v>
      </c>
      <c r="F7" s="59">
        <v>1</v>
      </c>
    </row>
    <row r="8" spans="1:6" ht="18" customHeight="1">
      <c r="A8" s="208"/>
      <c r="B8" s="207"/>
      <c r="C8" s="9" t="s">
        <v>70</v>
      </c>
      <c r="D8" s="9">
        <f>E8*F8</f>
        <v>0.5</v>
      </c>
      <c r="E8" s="9">
        <v>0.5</v>
      </c>
      <c r="F8" s="59">
        <v>1</v>
      </c>
    </row>
    <row r="9" spans="1:6" ht="17.5" customHeight="1">
      <c r="A9" s="208"/>
      <c r="B9" s="207"/>
      <c r="C9" s="9" t="s">
        <v>71</v>
      </c>
      <c r="D9" s="9">
        <f>E9*F9</f>
        <v>0.5</v>
      </c>
      <c r="E9" s="9">
        <v>0.5</v>
      </c>
      <c r="F9" s="59">
        <v>1</v>
      </c>
    </row>
    <row r="10" spans="1:6" ht="20" customHeight="1">
      <c r="A10" s="208"/>
      <c r="B10" s="207"/>
      <c r="C10" s="9" t="s">
        <v>72</v>
      </c>
      <c r="D10" s="5">
        <f>SUM(D5:D9)</f>
        <v>2.5</v>
      </c>
      <c r="E10" s="5"/>
      <c r="F10" s="59"/>
    </row>
    <row r="11" spans="1:6" ht="22.25" customHeight="1">
      <c r="A11" s="208" t="s">
        <v>73</v>
      </c>
      <c r="B11" s="207">
        <v>1</v>
      </c>
      <c r="C11" s="9" t="s">
        <v>152</v>
      </c>
      <c r="D11" s="9">
        <f>E11*F11</f>
        <v>3</v>
      </c>
      <c r="E11" s="9">
        <v>1</v>
      </c>
      <c r="F11" s="59">
        <v>3</v>
      </c>
    </row>
    <row r="12" spans="1:6" ht="22.25" customHeight="1">
      <c r="A12" s="208"/>
      <c r="B12" s="207"/>
      <c r="C12" s="9" t="s">
        <v>250</v>
      </c>
      <c r="D12" s="9">
        <f>E12*F12</f>
        <v>0.5</v>
      </c>
      <c r="E12" s="9">
        <v>0.5</v>
      </c>
      <c r="F12" s="59">
        <v>1</v>
      </c>
    </row>
    <row r="13" spans="1:6" ht="21" customHeight="1">
      <c r="A13" s="208"/>
      <c r="B13" s="207"/>
      <c r="C13" s="9" t="s">
        <v>150</v>
      </c>
      <c r="D13" s="9">
        <f>E13*F13</f>
        <v>0.5</v>
      </c>
      <c r="E13" s="9">
        <v>0.5</v>
      </c>
      <c r="F13" s="59">
        <v>1</v>
      </c>
    </row>
    <row r="14" spans="1:6" ht="17.5" customHeight="1">
      <c r="A14" s="208"/>
      <c r="B14" s="207"/>
      <c r="C14" s="9" t="s">
        <v>71</v>
      </c>
      <c r="D14" s="9">
        <f>E14*F14</f>
        <v>0.5</v>
      </c>
      <c r="E14" s="9">
        <v>0.5</v>
      </c>
      <c r="F14" s="59">
        <v>1</v>
      </c>
    </row>
    <row r="15" spans="1:6" ht="18" customHeight="1">
      <c r="A15" s="208"/>
      <c r="B15" s="207"/>
      <c r="C15" s="5" t="s">
        <v>75</v>
      </c>
      <c r="D15" s="5">
        <f>SUM(D11:D14)</f>
        <v>4.5</v>
      </c>
      <c r="E15" s="9"/>
      <c r="F15" s="59"/>
    </row>
    <row r="16" spans="1:6" ht="19.75" customHeight="1">
      <c r="A16" s="208" t="s">
        <v>248</v>
      </c>
      <c r="B16" s="207">
        <v>1.5</v>
      </c>
      <c r="C16" s="9" t="s">
        <v>152</v>
      </c>
      <c r="D16" s="9">
        <f>E16*F16</f>
        <v>2.5</v>
      </c>
      <c r="E16" s="9">
        <v>0.5</v>
      </c>
      <c r="F16" s="59">
        <v>5</v>
      </c>
    </row>
    <row r="17" spans="1:6" ht="19.75" customHeight="1">
      <c r="A17" s="208"/>
      <c r="B17" s="207"/>
      <c r="C17" s="9" t="s">
        <v>149</v>
      </c>
      <c r="D17" s="9">
        <f>E17*F17</f>
        <v>1</v>
      </c>
      <c r="E17" s="9">
        <v>0.5</v>
      </c>
      <c r="F17" s="59">
        <v>2</v>
      </c>
    </row>
    <row r="18" spans="1:6" ht="19.75" customHeight="1">
      <c r="A18" s="208"/>
      <c r="B18" s="207"/>
      <c r="C18" s="9" t="s">
        <v>74</v>
      </c>
      <c r="D18" s="9">
        <f>E18*F18</f>
        <v>0.5</v>
      </c>
      <c r="E18" s="9">
        <v>0.5</v>
      </c>
      <c r="F18" s="59">
        <v>1</v>
      </c>
    </row>
    <row r="19" spans="1:6" ht="19.75" customHeight="1">
      <c r="A19" s="208"/>
      <c r="B19" s="207"/>
      <c r="C19" s="5" t="s">
        <v>75</v>
      </c>
      <c r="D19" s="5">
        <f>SUM(D16:D18)</f>
        <v>4</v>
      </c>
      <c r="E19" s="9"/>
      <c r="F19" s="59"/>
    </row>
    <row r="20" spans="1:6" ht="19.75" customHeight="1">
      <c r="A20" s="208" t="s">
        <v>249</v>
      </c>
      <c r="B20" s="207">
        <v>0.5</v>
      </c>
      <c r="C20" s="9" t="s">
        <v>152</v>
      </c>
      <c r="D20" s="9">
        <f t="shared" ref="D20:D24" si="0">E20*F20</f>
        <v>3.5</v>
      </c>
      <c r="E20" s="9">
        <v>0.5</v>
      </c>
      <c r="F20" s="59">
        <v>7</v>
      </c>
    </row>
    <row r="21" spans="1:6" ht="19.75" customHeight="1">
      <c r="A21" s="208"/>
      <c r="B21" s="207"/>
      <c r="C21" s="9" t="s">
        <v>151</v>
      </c>
      <c r="D21" s="9">
        <f t="shared" si="0"/>
        <v>1</v>
      </c>
      <c r="E21" s="9">
        <v>1</v>
      </c>
      <c r="F21" s="59">
        <v>1</v>
      </c>
    </row>
    <row r="22" spans="1:6" ht="19.75" customHeight="1">
      <c r="A22" s="208"/>
      <c r="B22" s="207"/>
      <c r="C22" s="9" t="s">
        <v>251</v>
      </c>
      <c r="D22" s="9">
        <f t="shared" si="0"/>
        <v>2</v>
      </c>
      <c r="E22" s="9">
        <v>1</v>
      </c>
      <c r="F22" s="59">
        <v>2</v>
      </c>
    </row>
    <row r="23" spans="1:6" ht="19.75" customHeight="1">
      <c r="A23" s="208"/>
      <c r="B23" s="207"/>
      <c r="C23" s="9" t="s">
        <v>149</v>
      </c>
      <c r="D23" s="9">
        <f t="shared" si="0"/>
        <v>0.5</v>
      </c>
      <c r="E23" s="9">
        <v>0.5</v>
      </c>
      <c r="F23" s="59">
        <v>1</v>
      </c>
    </row>
    <row r="24" spans="1:6" ht="19.75" customHeight="1">
      <c r="A24" s="208"/>
      <c r="B24" s="207"/>
      <c r="C24" s="9" t="s">
        <v>74</v>
      </c>
      <c r="D24" s="9">
        <f t="shared" si="0"/>
        <v>0.5</v>
      </c>
      <c r="E24" s="9">
        <v>0.5</v>
      </c>
      <c r="F24" s="59">
        <v>1</v>
      </c>
    </row>
    <row r="25" spans="1:6" ht="19.75" customHeight="1">
      <c r="A25" s="208"/>
      <c r="B25" s="207"/>
      <c r="C25" s="5" t="s">
        <v>75</v>
      </c>
      <c r="D25" s="5">
        <f>SUM(D20:D24)</f>
        <v>7.5</v>
      </c>
      <c r="E25" s="9"/>
      <c r="F25" s="59"/>
    </row>
    <row r="26" spans="1:6" ht="19.75" customHeight="1" thickBot="1">
      <c r="A26" s="205" t="s">
        <v>78</v>
      </c>
      <c r="B26" s="206"/>
      <c r="C26" s="206"/>
      <c r="D26" s="57">
        <f>D10+D15+D19+D25</f>
        <v>18.5</v>
      </c>
      <c r="E26" s="57"/>
      <c r="F26" s="56"/>
    </row>
    <row r="27" spans="1:6" ht="15" thickTop="1"/>
  </sheetData>
  <mergeCells count="15">
    <mergeCell ref="B3:F3"/>
    <mergeCell ref="A4:F4"/>
    <mergeCell ref="B1:C1"/>
    <mergeCell ref="B2:C2"/>
    <mergeCell ref="A16:A19"/>
    <mergeCell ref="A11:A15"/>
    <mergeCell ref="A6:A10"/>
    <mergeCell ref="E1:F1"/>
    <mergeCell ref="E2:F2"/>
    <mergeCell ref="A26:C26"/>
    <mergeCell ref="B6:B10"/>
    <mergeCell ref="B11:B15"/>
    <mergeCell ref="B16:B19"/>
    <mergeCell ref="A20:A25"/>
    <mergeCell ref="B20:B25"/>
  </mergeCells>
  <phoneticPr fontId="2" type="noConversion"/>
  <pageMargins left="0.7" right="0.7" top="0.75" bottom="0.75" header="0.3" footer="0.3"/>
  <pageSetup paperSize="9" orientation="portrait" r:id="rId1"/>
  <headerFooter>
    <oddHeader>&amp;C&amp;16配置管理工作量估计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G77"/>
  <sheetViews>
    <sheetView view="pageLayout" zoomScaleNormal="100" workbookViewId="0">
      <selection activeCell="E15" sqref="E15"/>
    </sheetView>
  </sheetViews>
  <sheetFormatPr baseColWidth="10" defaultColWidth="8.83203125" defaultRowHeight="14"/>
  <cols>
    <col min="1" max="1" width="7.5" customWidth="1"/>
    <col min="2" max="2" width="8.5" customWidth="1"/>
    <col min="3" max="3" width="23" customWidth="1"/>
    <col min="4" max="5" width="11.5" customWidth="1"/>
    <col min="6" max="6" width="12.6640625" customWidth="1"/>
    <col min="7" max="7" width="10.5" customWidth="1"/>
  </cols>
  <sheetData>
    <row r="1" spans="1:7" ht="23.5" customHeight="1" thickTop="1">
      <c r="A1" s="224" t="s">
        <v>42</v>
      </c>
      <c r="B1" s="225"/>
      <c r="C1" s="217" t="s">
        <v>254</v>
      </c>
      <c r="D1" s="232"/>
      <c r="E1" s="39" t="s">
        <v>130</v>
      </c>
      <c r="F1" s="228" t="s">
        <v>252</v>
      </c>
      <c r="G1" s="229"/>
    </row>
    <row r="2" spans="1:7" ht="20" customHeight="1">
      <c r="A2" s="226" t="s">
        <v>56</v>
      </c>
      <c r="B2" s="227"/>
      <c r="C2" s="230" t="s">
        <v>132</v>
      </c>
      <c r="D2" s="233"/>
      <c r="E2" s="7" t="s">
        <v>55</v>
      </c>
      <c r="F2" s="230" t="s">
        <v>25</v>
      </c>
      <c r="G2" s="231"/>
    </row>
    <row r="3" spans="1:7" ht="45.5" customHeight="1">
      <c r="A3" s="240" t="s">
        <v>53</v>
      </c>
      <c r="B3" s="241"/>
      <c r="C3" s="209" t="s">
        <v>140</v>
      </c>
      <c r="D3" s="210"/>
      <c r="E3" s="210"/>
      <c r="F3" s="210"/>
      <c r="G3" s="211"/>
    </row>
    <row r="4" spans="1:7" ht="23.5" customHeight="1">
      <c r="A4" s="237" t="s">
        <v>131</v>
      </c>
      <c r="B4" s="238"/>
      <c r="C4" s="238"/>
      <c r="D4" s="238"/>
      <c r="E4" s="238"/>
      <c r="F4" s="238"/>
      <c r="G4" s="239"/>
    </row>
    <row r="5" spans="1:7" ht="30" customHeight="1">
      <c r="A5" s="51"/>
      <c r="B5" s="4" t="s">
        <v>79</v>
      </c>
      <c r="C5" s="4" t="s">
        <v>80</v>
      </c>
      <c r="D5" s="4" t="s">
        <v>67</v>
      </c>
      <c r="E5" s="4" t="s">
        <v>145</v>
      </c>
      <c r="F5" s="4" t="s">
        <v>144</v>
      </c>
      <c r="G5" s="52" t="s">
        <v>81</v>
      </c>
    </row>
    <row r="6" spans="1:7" ht="20" customHeight="1">
      <c r="A6" s="234" t="s">
        <v>82</v>
      </c>
      <c r="B6" s="5"/>
      <c r="C6" s="8" t="s">
        <v>83</v>
      </c>
      <c r="D6" s="8">
        <f>F6*G6</f>
        <v>2</v>
      </c>
      <c r="E6" s="9"/>
      <c r="F6" s="9">
        <v>2</v>
      </c>
      <c r="G6" s="40">
        <v>1</v>
      </c>
    </row>
    <row r="7" spans="1:7" ht="23.5" customHeight="1">
      <c r="A7" s="235"/>
      <c r="B7" s="5"/>
      <c r="C7" s="8" t="s">
        <v>84</v>
      </c>
      <c r="D7" s="8">
        <f t="shared" ref="D7:D12" si="0">E7*G7</f>
        <v>1</v>
      </c>
      <c r="E7" s="8">
        <v>1</v>
      </c>
      <c r="F7" s="9"/>
      <c r="G7" s="40">
        <v>1</v>
      </c>
    </row>
    <row r="8" spans="1:7" ht="22.25" customHeight="1">
      <c r="A8" s="235"/>
      <c r="B8" s="5"/>
      <c r="C8" s="8" t="s">
        <v>193</v>
      </c>
      <c r="D8" s="8">
        <f t="shared" si="0"/>
        <v>0.5</v>
      </c>
      <c r="E8" s="8">
        <v>0.5</v>
      </c>
      <c r="F8" s="9"/>
      <c r="G8" s="40">
        <v>1</v>
      </c>
    </row>
    <row r="9" spans="1:7" ht="18" customHeight="1">
      <c r="A9" s="235"/>
      <c r="B9" s="5"/>
      <c r="C9" s="8" t="s">
        <v>85</v>
      </c>
      <c r="D9" s="8">
        <f t="shared" si="0"/>
        <v>0.5</v>
      </c>
      <c r="E9" s="8">
        <v>0.5</v>
      </c>
      <c r="F9" s="9"/>
      <c r="G9" s="40">
        <v>1</v>
      </c>
    </row>
    <row r="10" spans="1:7" ht="23" customHeight="1">
      <c r="A10" s="235"/>
      <c r="B10" s="5"/>
      <c r="C10" s="8" t="s">
        <v>86</v>
      </c>
      <c r="D10" s="8">
        <f t="shared" si="0"/>
        <v>0.5</v>
      </c>
      <c r="E10" s="8">
        <v>0.5</v>
      </c>
      <c r="F10" s="9"/>
      <c r="G10" s="40">
        <v>1</v>
      </c>
    </row>
    <row r="11" spans="1:7" ht="23" customHeight="1">
      <c r="A11" s="235"/>
      <c r="B11" s="5"/>
      <c r="C11" s="8" t="s">
        <v>194</v>
      </c>
      <c r="D11" s="8">
        <f t="shared" si="0"/>
        <v>0.5</v>
      </c>
      <c r="E11" s="8">
        <v>0.5</v>
      </c>
      <c r="F11" s="9"/>
      <c r="G11" s="40">
        <v>1</v>
      </c>
    </row>
    <row r="12" spans="1:7" ht="20.5" customHeight="1">
      <c r="A12" s="235"/>
      <c r="B12" s="5"/>
      <c r="C12" s="8" t="s">
        <v>87</v>
      </c>
      <c r="D12" s="8">
        <f t="shared" si="0"/>
        <v>0.5</v>
      </c>
      <c r="E12" s="8">
        <v>0.5</v>
      </c>
      <c r="F12" s="9"/>
      <c r="G12" s="40">
        <v>1</v>
      </c>
    </row>
    <row r="13" spans="1:7" ht="20" customHeight="1">
      <c r="A13" s="236"/>
      <c r="B13" s="5"/>
      <c r="C13" s="5" t="s">
        <v>75</v>
      </c>
      <c r="D13" s="5">
        <f>SUM(D6:D12)</f>
        <v>5.5</v>
      </c>
      <c r="E13" s="5"/>
      <c r="F13" s="5"/>
      <c r="G13" s="37"/>
    </row>
    <row r="14" spans="1:7" ht="24" customHeight="1">
      <c r="A14" s="234" t="s">
        <v>73</v>
      </c>
      <c r="B14" s="9"/>
      <c r="C14" s="8" t="s">
        <v>88</v>
      </c>
      <c r="D14" s="8">
        <f t="shared" ref="D14:D22" si="1">E14*G14</f>
        <v>1</v>
      </c>
      <c r="E14" s="6">
        <v>1</v>
      </c>
      <c r="F14" s="6"/>
      <c r="G14" s="38">
        <v>1</v>
      </c>
    </row>
    <row r="15" spans="1:7" ht="27" customHeight="1">
      <c r="A15" s="235"/>
      <c r="B15" s="9"/>
      <c r="C15" s="8" t="s">
        <v>89</v>
      </c>
      <c r="D15" s="8">
        <f t="shared" si="1"/>
        <v>0.5</v>
      </c>
      <c r="E15" s="6">
        <v>0.5</v>
      </c>
      <c r="F15" s="6"/>
      <c r="G15" s="38">
        <v>1</v>
      </c>
    </row>
    <row r="16" spans="1:7" ht="20.5" customHeight="1">
      <c r="A16" s="235"/>
      <c r="B16" s="9"/>
      <c r="C16" s="8" t="s">
        <v>84</v>
      </c>
      <c r="D16" s="8">
        <f t="shared" si="1"/>
        <v>1</v>
      </c>
      <c r="E16" s="6">
        <v>1</v>
      </c>
      <c r="F16" s="6"/>
      <c r="G16" s="38">
        <v>1</v>
      </c>
    </row>
    <row r="17" spans="1:7" ht="20.5" customHeight="1">
      <c r="A17" s="235"/>
      <c r="B17" s="9"/>
      <c r="C17" s="8" t="s">
        <v>86</v>
      </c>
      <c r="D17" s="8">
        <f t="shared" si="1"/>
        <v>0.5</v>
      </c>
      <c r="E17" s="6">
        <v>0.5</v>
      </c>
      <c r="F17" s="6"/>
      <c r="G17" s="38">
        <v>1</v>
      </c>
    </row>
    <row r="18" spans="1:7" ht="20.5" customHeight="1">
      <c r="A18" s="235"/>
      <c r="B18" s="9"/>
      <c r="C18" s="8" t="s">
        <v>90</v>
      </c>
      <c r="D18" s="8">
        <f t="shared" si="1"/>
        <v>0.5</v>
      </c>
      <c r="E18" s="6">
        <v>0.5</v>
      </c>
      <c r="F18" s="6"/>
      <c r="G18" s="38">
        <v>1</v>
      </c>
    </row>
    <row r="19" spans="1:7" ht="40.25" customHeight="1">
      <c r="A19" s="235"/>
      <c r="B19" s="9"/>
      <c r="C19" s="8" t="s">
        <v>91</v>
      </c>
      <c r="D19" s="8">
        <f t="shared" si="1"/>
        <v>0.5</v>
      </c>
      <c r="E19" s="6">
        <v>0.5</v>
      </c>
      <c r="F19" s="6"/>
      <c r="G19" s="38">
        <v>1</v>
      </c>
    </row>
    <row r="20" spans="1:7" ht="19.25" customHeight="1">
      <c r="A20" s="235"/>
      <c r="B20" s="9"/>
      <c r="C20" s="8" t="s">
        <v>92</v>
      </c>
      <c r="D20" s="8">
        <f t="shared" si="1"/>
        <v>1</v>
      </c>
      <c r="E20" s="6">
        <v>0.5</v>
      </c>
      <c r="F20" s="6"/>
      <c r="G20" s="38">
        <v>2</v>
      </c>
    </row>
    <row r="21" spans="1:7" ht="18.5" customHeight="1">
      <c r="A21" s="235"/>
      <c r="B21" s="9"/>
      <c r="C21" s="8" t="s">
        <v>93</v>
      </c>
      <c r="D21" s="8">
        <f t="shared" si="1"/>
        <v>3</v>
      </c>
      <c r="E21" s="6">
        <v>1</v>
      </c>
      <c r="F21" s="6"/>
      <c r="G21" s="38">
        <v>3</v>
      </c>
    </row>
    <row r="22" spans="1:7" ht="15">
      <c r="A22" s="235"/>
      <c r="B22" s="9"/>
      <c r="C22" s="8" t="s">
        <v>94</v>
      </c>
      <c r="D22" s="8">
        <f t="shared" si="1"/>
        <v>1.5</v>
      </c>
      <c r="E22" s="6">
        <v>0.5</v>
      </c>
      <c r="F22" s="6"/>
      <c r="G22" s="38">
        <v>3</v>
      </c>
    </row>
    <row r="23" spans="1:7" ht="38" customHeight="1">
      <c r="A23" s="235"/>
      <c r="B23" s="9"/>
      <c r="C23" s="8" t="s">
        <v>95</v>
      </c>
      <c r="D23" s="10">
        <f>F23*G23</f>
        <v>4</v>
      </c>
      <c r="E23" s="6"/>
      <c r="F23" s="6">
        <v>4</v>
      </c>
      <c r="G23" s="38">
        <v>1</v>
      </c>
    </row>
    <row r="24" spans="1:7" ht="18.5" customHeight="1">
      <c r="A24" s="235"/>
      <c r="B24" s="11"/>
      <c r="C24" s="8" t="s">
        <v>96</v>
      </c>
      <c r="D24" s="10">
        <f>F24*G24</f>
        <v>4</v>
      </c>
      <c r="E24" s="6"/>
      <c r="F24" s="6">
        <v>4</v>
      </c>
      <c r="G24" s="38">
        <v>1</v>
      </c>
    </row>
    <row r="25" spans="1:7" ht="18.5" customHeight="1">
      <c r="A25" s="235"/>
      <c r="B25" s="11"/>
      <c r="C25" s="8" t="s">
        <v>172</v>
      </c>
      <c r="D25" s="10">
        <f>F25*G25</f>
        <v>0.5</v>
      </c>
      <c r="E25" s="6"/>
      <c r="F25" s="6">
        <v>0.5</v>
      </c>
      <c r="G25" s="38">
        <v>1</v>
      </c>
    </row>
    <row r="26" spans="1:7" ht="21" customHeight="1">
      <c r="A26" s="235"/>
      <c r="B26" s="11"/>
      <c r="C26" s="8" t="s">
        <v>87</v>
      </c>
      <c r="D26" s="6">
        <f>F26*G26</f>
        <v>1.5</v>
      </c>
      <c r="E26" s="6"/>
      <c r="F26" s="6">
        <v>0.5</v>
      </c>
      <c r="G26" s="38">
        <v>3</v>
      </c>
    </row>
    <row r="27" spans="1:7" ht="21" customHeight="1">
      <c r="A27" s="236"/>
      <c r="B27" s="12"/>
      <c r="C27" s="5" t="s">
        <v>75</v>
      </c>
      <c r="D27" s="5">
        <f>SUM(D14:D26)</f>
        <v>19.5</v>
      </c>
      <c r="E27" s="5"/>
      <c r="F27" s="5"/>
      <c r="G27" s="37"/>
    </row>
    <row r="28" spans="1:7" ht="20" customHeight="1">
      <c r="A28" s="234" t="s">
        <v>195</v>
      </c>
      <c r="B28" s="11"/>
      <c r="C28" s="9" t="s">
        <v>196</v>
      </c>
      <c r="D28" s="6">
        <f>F28*G28</f>
        <v>2</v>
      </c>
      <c r="E28" s="6"/>
      <c r="F28" s="6">
        <v>2</v>
      </c>
      <c r="G28" s="38">
        <v>1</v>
      </c>
    </row>
    <row r="29" spans="1:7" ht="20.5" customHeight="1">
      <c r="A29" s="235"/>
      <c r="B29" s="11"/>
      <c r="C29" s="9" t="s">
        <v>97</v>
      </c>
      <c r="D29" s="6">
        <f>F29*G29</f>
        <v>1</v>
      </c>
      <c r="E29" s="6"/>
      <c r="F29" s="6">
        <v>1</v>
      </c>
      <c r="G29" s="38">
        <v>1</v>
      </c>
    </row>
    <row r="30" spans="1:7" ht="19.25" customHeight="1">
      <c r="A30" s="235"/>
      <c r="B30" s="11"/>
      <c r="C30" s="8" t="s">
        <v>88</v>
      </c>
      <c r="D30" s="6">
        <f>E30*G30</f>
        <v>1</v>
      </c>
      <c r="E30" s="6">
        <v>1</v>
      </c>
      <c r="F30" s="6"/>
      <c r="G30" s="38">
        <v>1</v>
      </c>
    </row>
    <row r="31" spans="1:7" ht="16.25" customHeight="1">
      <c r="A31" s="235"/>
      <c r="B31" s="11"/>
      <c r="C31" s="8" t="s">
        <v>94</v>
      </c>
      <c r="D31" s="6">
        <f>E31*G31</f>
        <v>1</v>
      </c>
      <c r="E31" s="6">
        <v>0.5</v>
      </c>
      <c r="F31" s="6"/>
      <c r="G31" s="38">
        <v>2</v>
      </c>
    </row>
    <row r="32" spans="1:7" ht="26.5" customHeight="1">
      <c r="A32" s="235"/>
      <c r="B32" s="11"/>
      <c r="C32" s="8" t="s">
        <v>93</v>
      </c>
      <c r="D32" s="6">
        <f>E32*G32</f>
        <v>2</v>
      </c>
      <c r="E32" s="6">
        <v>1</v>
      </c>
      <c r="F32" s="6"/>
      <c r="G32" s="38">
        <v>2</v>
      </c>
    </row>
    <row r="33" spans="1:7" ht="20" customHeight="1">
      <c r="A33" s="235"/>
      <c r="B33" s="11"/>
      <c r="C33" s="8" t="s">
        <v>92</v>
      </c>
      <c r="D33" s="6">
        <f>E33*G33</f>
        <v>1</v>
      </c>
      <c r="E33" s="6">
        <v>0.5</v>
      </c>
      <c r="F33" s="6"/>
      <c r="G33" s="38">
        <v>2</v>
      </c>
    </row>
    <row r="34" spans="1:7" ht="20" customHeight="1">
      <c r="A34" s="235"/>
      <c r="B34" s="11"/>
      <c r="C34" s="8" t="s">
        <v>86</v>
      </c>
      <c r="D34" s="6">
        <f t="shared" ref="D34:D36" si="2">E34*G34</f>
        <v>0.5</v>
      </c>
      <c r="E34" s="6">
        <v>0.5</v>
      </c>
      <c r="F34" s="6"/>
      <c r="G34" s="38">
        <v>1</v>
      </c>
    </row>
    <row r="35" spans="1:7" ht="15">
      <c r="A35" s="235"/>
      <c r="B35" s="11"/>
      <c r="C35" s="8" t="s">
        <v>90</v>
      </c>
      <c r="D35" s="6">
        <f t="shared" si="2"/>
        <v>0.5</v>
      </c>
      <c r="E35" s="6">
        <v>0.5</v>
      </c>
      <c r="F35" s="6"/>
      <c r="G35" s="38">
        <v>1</v>
      </c>
    </row>
    <row r="36" spans="1:7" ht="31.25" customHeight="1">
      <c r="A36" s="235"/>
      <c r="B36" s="11"/>
      <c r="C36" s="8" t="s">
        <v>89</v>
      </c>
      <c r="D36" s="6">
        <f t="shared" si="2"/>
        <v>0.5</v>
      </c>
      <c r="E36" s="6">
        <v>0.5</v>
      </c>
      <c r="F36" s="6"/>
      <c r="G36" s="38">
        <v>1</v>
      </c>
    </row>
    <row r="37" spans="1:7" ht="25.25" customHeight="1">
      <c r="A37" s="235"/>
      <c r="B37" s="11"/>
      <c r="C37" s="8" t="s">
        <v>84</v>
      </c>
      <c r="D37" s="6">
        <f>E37*G37</f>
        <v>1</v>
      </c>
      <c r="E37" s="6">
        <v>1</v>
      </c>
      <c r="F37" s="6"/>
      <c r="G37" s="38">
        <v>1</v>
      </c>
    </row>
    <row r="38" spans="1:7" ht="20" customHeight="1">
      <c r="A38" s="235"/>
      <c r="B38" s="11"/>
      <c r="C38" s="8" t="s">
        <v>87</v>
      </c>
      <c r="D38" s="6">
        <f>F38*G38</f>
        <v>1</v>
      </c>
      <c r="E38" s="6"/>
      <c r="F38" s="6">
        <v>0.5</v>
      </c>
      <c r="G38" s="38">
        <v>2</v>
      </c>
    </row>
    <row r="39" spans="1:7" ht="18.5" customHeight="1">
      <c r="A39" s="236"/>
      <c r="B39" s="11"/>
      <c r="C39" s="5" t="s">
        <v>75</v>
      </c>
      <c r="D39" s="5">
        <f>SUM(D28:D38)</f>
        <v>11.5</v>
      </c>
      <c r="E39" s="6"/>
      <c r="F39" s="6"/>
      <c r="G39" s="38"/>
    </row>
    <row r="40" spans="1:7" ht="18.5" customHeight="1">
      <c r="A40" s="234" t="s">
        <v>76</v>
      </c>
      <c r="B40" s="11"/>
      <c r="C40" s="8" t="s">
        <v>197</v>
      </c>
      <c r="D40" s="6">
        <f>F40*G40</f>
        <v>4</v>
      </c>
      <c r="E40" s="10"/>
      <c r="F40" s="10">
        <v>4</v>
      </c>
      <c r="G40" s="41">
        <v>1</v>
      </c>
    </row>
    <row r="41" spans="1:7" ht="18.5" customHeight="1">
      <c r="A41" s="235"/>
      <c r="B41" s="11"/>
      <c r="C41" s="8" t="s">
        <v>199</v>
      </c>
      <c r="D41" s="6">
        <f>F41*G41</f>
        <v>1</v>
      </c>
      <c r="E41" s="10"/>
      <c r="F41" s="10">
        <v>1</v>
      </c>
      <c r="G41" s="41">
        <v>1</v>
      </c>
    </row>
    <row r="42" spans="1:7" ht="18.5" customHeight="1">
      <c r="A42" s="235"/>
      <c r="B42" s="11"/>
      <c r="C42" s="8" t="s">
        <v>98</v>
      </c>
      <c r="D42" s="6">
        <f>F42*G42</f>
        <v>1</v>
      </c>
      <c r="E42" s="10"/>
      <c r="F42" s="10">
        <v>1</v>
      </c>
      <c r="G42" s="41">
        <v>1</v>
      </c>
    </row>
    <row r="43" spans="1:7" ht="27.5" customHeight="1">
      <c r="A43" s="235"/>
      <c r="B43" s="11"/>
      <c r="C43" s="8" t="s">
        <v>198</v>
      </c>
      <c r="D43" s="10">
        <f>E43*G43</f>
        <v>0.5</v>
      </c>
      <c r="E43" s="10">
        <v>0.5</v>
      </c>
      <c r="F43" s="10"/>
      <c r="G43" s="41">
        <v>1</v>
      </c>
    </row>
    <row r="44" spans="1:7" ht="18" customHeight="1">
      <c r="A44" s="235"/>
      <c r="B44" s="11"/>
      <c r="C44" s="8" t="s">
        <v>88</v>
      </c>
      <c r="D44" s="10">
        <f>E44*G44</f>
        <v>1</v>
      </c>
      <c r="E44" s="10">
        <v>1</v>
      </c>
      <c r="F44" s="10"/>
      <c r="G44" s="41">
        <v>1</v>
      </c>
    </row>
    <row r="45" spans="1:7" ht="20.5" customHeight="1">
      <c r="A45" s="235"/>
      <c r="B45" s="11"/>
      <c r="C45" s="8" t="s">
        <v>94</v>
      </c>
      <c r="D45" s="10">
        <f>E45*G45</f>
        <v>6.5</v>
      </c>
      <c r="E45" s="10">
        <v>0.5</v>
      </c>
      <c r="F45" s="10"/>
      <c r="G45" s="41">
        <v>13</v>
      </c>
    </row>
    <row r="46" spans="1:7" ht="19.25" customHeight="1">
      <c r="A46" s="235"/>
      <c r="B46" s="11"/>
      <c r="C46" s="8" t="s">
        <v>93</v>
      </c>
      <c r="D46" s="10">
        <f>E46*G46</f>
        <v>13</v>
      </c>
      <c r="E46" s="10">
        <v>1</v>
      </c>
      <c r="F46" s="10"/>
      <c r="G46" s="41">
        <v>13</v>
      </c>
    </row>
    <row r="47" spans="1:7" ht="19.25" customHeight="1">
      <c r="A47" s="235"/>
      <c r="B47" s="11"/>
      <c r="C47" s="8" t="s">
        <v>86</v>
      </c>
      <c r="D47" s="10">
        <f t="shared" ref="D47:D50" si="3">E47*G47</f>
        <v>0.5</v>
      </c>
      <c r="E47" s="10">
        <v>0.5</v>
      </c>
      <c r="F47" s="10"/>
      <c r="G47" s="41">
        <v>1</v>
      </c>
    </row>
    <row r="48" spans="1:7" ht="18.5" customHeight="1">
      <c r="A48" s="235"/>
      <c r="B48" s="11"/>
      <c r="C48" s="8" t="s">
        <v>90</v>
      </c>
      <c r="D48" s="10">
        <f t="shared" si="3"/>
        <v>0.5</v>
      </c>
      <c r="E48" s="10">
        <v>0.5</v>
      </c>
      <c r="F48" s="10"/>
      <c r="G48" s="41">
        <v>1</v>
      </c>
    </row>
    <row r="49" spans="1:7" ht="15">
      <c r="A49" s="235"/>
      <c r="B49" s="11"/>
      <c r="C49" s="8" t="s">
        <v>92</v>
      </c>
      <c r="D49" s="10">
        <f t="shared" si="3"/>
        <v>3.5</v>
      </c>
      <c r="E49" s="10">
        <v>0.5</v>
      </c>
      <c r="F49" s="10"/>
      <c r="G49" s="41">
        <v>7</v>
      </c>
    </row>
    <row r="50" spans="1:7" ht="29" customHeight="1">
      <c r="A50" s="235"/>
      <c r="B50" s="11"/>
      <c r="C50" s="8" t="s">
        <v>84</v>
      </c>
      <c r="D50" s="10">
        <f t="shared" si="3"/>
        <v>1</v>
      </c>
      <c r="E50" s="10">
        <v>1</v>
      </c>
      <c r="F50" s="10"/>
      <c r="G50" s="41">
        <v>1</v>
      </c>
    </row>
    <row r="51" spans="1:7" ht="19.25" customHeight="1">
      <c r="A51" s="235"/>
      <c r="B51" s="11"/>
      <c r="C51" s="8" t="s">
        <v>87</v>
      </c>
      <c r="D51" s="10">
        <f>F51*G51</f>
        <v>6.5</v>
      </c>
      <c r="E51" s="10"/>
      <c r="F51" s="10">
        <v>0.5</v>
      </c>
      <c r="G51" s="41">
        <v>13</v>
      </c>
    </row>
    <row r="52" spans="1:7" ht="29" customHeight="1">
      <c r="A52" s="236"/>
      <c r="B52" s="12"/>
      <c r="C52" s="5" t="s">
        <v>75</v>
      </c>
      <c r="D52" s="5">
        <f>SUM(D40:D51)</f>
        <v>39</v>
      </c>
      <c r="E52" s="5"/>
      <c r="F52" s="5"/>
      <c r="G52" s="37"/>
    </row>
    <row r="53" spans="1:7" ht="27.5" customHeight="1">
      <c r="A53" s="234" t="s">
        <v>77</v>
      </c>
      <c r="B53" s="11"/>
      <c r="C53" s="9" t="s">
        <v>203</v>
      </c>
      <c r="D53" s="6">
        <f>F53*G53</f>
        <v>2</v>
      </c>
      <c r="E53" s="6"/>
      <c r="F53" s="6">
        <v>2</v>
      </c>
      <c r="G53" s="38">
        <v>1</v>
      </c>
    </row>
    <row r="54" spans="1:7" ht="27.5" customHeight="1">
      <c r="A54" s="235"/>
      <c r="B54" s="11"/>
      <c r="C54" s="9" t="s">
        <v>202</v>
      </c>
      <c r="D54" s="6">
        <f>F54*G54</f>
        <v>2</v>
      </c>
      <c r="E54" s="6"/>
      <c r="F54" s="6">
        <v>2</v>
      </c>
      <c r="G54" s="38">
        <v>1</v>
      </c>
    </row>
    <row r="55" spans="1:7" ht="27.5" customHeight="1">
      <c r="A55" s="235"/>
      <c r="B55" s="11"/>
      <c r="C55" s="9" t="s">
        <v>201</v>
      </c>
      <c r="D55" s="6">
        <f>F55*G55</f>
        <v>4</v>
      </c>
      <c r="E55" s="6"/>
      <c r="F55" s="6">
        <v>4</v>
      </c>
      <c r="G55" s="38">
        <v>1</v>
      </c>
    </row>
    <row r="56" spans="1:7" ht="30.5" customHeight="1">
      <c r="A56" s="235"/>
      <c r="B56" s="11"/>
      <c r="C56" s="9" t="s">
        <v>200</v>
      </c>
      <c r="D56" s="6">
        <f>F56*G56</f>
        <v>2</v>
      </c>
      <c r="E56" s="6"/>
      <c r="F56" s="6">
        <v>2</v>
      </c>
      <c r="G56" s="38">
        <v>1</v>
      </c>
    </row>
    <row r="57" spans="1:7" ht="32.5" customHeight="1">
      <c r="A57" s="235"/>
      <c r="B57" s="11"/>
      <c r="C57" s="8" t="s">
        <v>88</v>
      </c>
      <c r="D57" s="10">
        <f t="shared" ref="D57:D64" si="4">E57*G57</f>
        <v>1</v>
      </c>
      <c r="E57" s="6">
        <v>1</v>
      </c>
      <c r="F57" s="6"/>
      <c r="G57" s="38">
        <v>1</v>
      </c>
    </row>
    <row r="58" spans="1:7" ht="29" customHeight="1">
      <c r="A58" s="235"/>
      <c r="B58" s="11"/>
      <c r="C58" s="9" t="s">
        <v>204</v>
      </c>
      <c r="D58" s="10">
        <f t="shared" si="4"/>
        <v>0.5</v>
      </c>
      <c r="E58" s="6">
        <v>0.5</v>
      </c>
      <c r="F58" s="6"/>
      <c r="G58" s="38">
        <v>1</v>
      </c>
    </row>
    <row r="59" spans="1:7" ht="20" customHeight="1">
      <c r="A59" s="235"/>
      <c r="B59" s="11"/>
      <c r="C59" s="8" t="s">
        <v>84</v>
      </c>
      <c r="D59" s="10">
        <f t="shared" si="4"/>
        <v>1</v>
      </c>
      <c r="E59" s="6">
        <v>1</v>
      </c>
      <c r="F59" s="6"/>
      <c r="G59" s="38">
        <v>1</v>
      </c>
    </row>
    <row r="60" spans="1:7" ht="20" customHeight="1">
      <c r="A60" s="235"/>
      <c r="B60" s="11"/>
      <c r="C60" s="8" t="s">
        <v>92</v>
      </c>
      <c r="D60" s="10">
        <f t="shared" si="4"/>
        <v>1</v>
      </c>
      <c r="E60" s="10">
        <v>0.5</v>
      </c>
      <c r="F60" s="10"/>
      <c r="G60" s="41">
        <v>2</v>
      </c>
    </row>
    <row r="61" spans="1:7" ht="19.25" customHeight="1">
      <c r="A61" s="235"/>
      <c r="B61" s="11"/>
      <c r="C61" s="8" t="s">
        <v>93</v>
      </c>
      <c r="D61" s="10">
        <f t="shared" si="4"/>
        <v>3</v>
      </c>
      <c r="E61" s="10">
        <v>1</v>
      </c>
      <c r="F61" s="6"/>
      <c r="G61" s="41">
        <v>3</v>
      </c>
    </row>
    <row r="62" spans="1:7" ht="15">
      <c r="A62" s="235"/>
      <c r="B62" s="11"/>
      <c r="C62" s="8" t="s">
        <v>94</v>
      </c>
      <c r="D62" s="10">
        <f t="shared" si="4"/>
        <v>1.5</v>
      </c>
      <c r="E62" s="10">
        <v>0.5</v>
      </c>
      <c r="F62" s="6"/>
      <c r="G62" s="41">
        <v>3</v>
      </c>
    </row>
    <row r="63" spans="1:7" ht="15">
      <c r="A63" s="235"/>
      <c r="B63" s="11"/>
      <c r="C63" s="80" t="s">
        <v>99</v>
      </c>
      <c r="D63" s="6">
        <f t="shared" si="4"/>
        <v>0.5</v>
      </c>
      <c r="E63" s="6">
        <v>0.5</v>
      </c>
      <c r="F63" s="6"/>
      <c r="G63" s="38">
        <v>1</v>
      </c>
    </row>
    <row r="64" spans="1:7" ht="15">
      <c r="A64" s="235"/>
      <c r="B64" s="11"/>
      <c r="C64" s="80" t="s">
        <v>100</v>
      </c>
      <c r="D64" s="6">
        <f t="shared" si="4"/>
        <v>0.5</v>
      </c>
      <c r="E64" s="6">
        <v>0.5</v>
      </c>
      <c r="F64" s="6"/>
      <c r="G64" s="38">
        <v>1</v>
      </c>
    </row>
    <row r="65" spans="1:7" ht="15">
      <c r="A65" s="235"/>
      <c r="B65" s="11"/>
      <c r="C65" s="9" t="s">
        <v>101</v>
      </c>
      <c r="D65" s="6">
        <f>F65*G65</f>
        <v>1.5</v>
      </c>
      <c r="E65" s="6"/>
      <c r="F65" s="6">
        <v>0.5</v>
      </c>
      <c r="G65" s="38">
        <v>3</v>
      </c>
    </row>
    <row r="66" spans="1:7" ht="15">
      <c r="A66" s="235"/>
      <c r="B66" s="53"/>
      <c r="C66" s="7" t="s">
        <v>75</v>
      </c>
      <c r="D66" s="7">
        <f>SUM(D53:D65)</f>
        <v>20.5</v>
      </c>
      <c r="E66" s="7"/>
      <c r="F66" s="7"/>
      <c r="G66" s="54"/>
    </row>
    <row r="67" spans="1:7" ht="32.5" customHeight="1">
      <c r="A67" s="235" t="s">
        <v>173</v>
      </c>
      <c r="B67" s="11"/>
      <c r="C67" s="8" t="s">
        <v>88</v>
      </c>
      <c r="D67" s="10">
        <f t="shared" ref="D67:D72" si="5">E67*G67</f>
        <v>1</v>
      </c>
      <c r="E67" s="6">
        <v>1</v>
      </c>
      <c r="F67" s="6"/>
      <c r="G67" s="38">
        <v>1</v>
      </c>
    </row>
    <row r="68" spans="1:7" ht="20" customHeight="1">
      <c r="A68" s="235"/>
      <c r="B68" s="11"/>
      <c r="C68" s="8" t="s">
        <v>84</v>
      </c>
      <c r="D68" s="10">
        <f t="shared" si="5"/>
        <v>1</v>
      </c>
      <c r="E68" s="6">
        <v>1</v>
      </c>
      <c r="F68" s="6"/>
      <c r="G68" s="38">
        <v>1</v>
      </c>
    </row>
    <row r="69" spans="1:7" ht="20" customHeight="1">
      <c r="A69" s="235"/>
      <c r="B69" s="11"/>
      <c r="C69" s="8" t="s">
        <v>205</v>
      </c>
      <c r="D69" s="10">
        <f t="shared" ref="D69" si="6">E69*G69</f>
        <v>0.5</v>
      </c>
      <c r="E69" s="10">
        <v>0.5</v>
      </c>
      <c r="F69" s="10"/>
      <c r="G69" s="41">
        <v>1</v>
      </c>
    </row>
    <row r="70" spans="1:7" ht="20" customHeight="1">
      <c r="A70" s="235"/>
      <c r="B70" s="11"/>
      <c r="C70" s="8" t="s">
        <v>92</v>
      </c>
      <c r="D70" s="10">
        <f t="shared" si="5"/>
        <v>0.5</v>
      </c>
      <c r="E70" s="10">
        <v>0.5</v>
      </c>
      <c r="F70" s="10"/>
      <c r="G70" s="41">
        <v>1</v>
      </c>
    </row>
    <row r="71" spans="1:7" ht="19.25" customHeight="1">
      <c r="A71" s="235"/>
      <c r="B71" s="11"/>
      <c r="C71" s="8" t="s">
        <v>93</v>
      </c>
      <c r="D71" s="10">
        <f t="shared" si="5"/>
        <v>1</v>
      </c>
      <c r="E71" s="10">
        <v>1</v>
      </c>
      <c r="F71" s="6"/>
      <c r="G71" s="41">
        <v>1</v>
      </c>
    </row>
    <row r="72" spans="1:7" ht="15">
      <c r="A72" s="235"/>
      <c r="B72" s="11"/>
      <c r="C72" s="8" t="s">
        <v>94</v>
      </c>
      <c r="D72" s="10">
        <f t="shared" si="5"/>
        <v>0.5</v>
      </c>
      <c r="E72" s="10">
        <v>0.5</v>
      </c>
      <c r="F72" s="6"/>
      <c r="G72" s="41">
        <v>1</v>
      </c>
    </row>
    <row r="73" spans="1:7" ht="15">
      <c r="A73" s="235"/>
      <c r="B73" s="11"/>
      <c r="C73" s="9" t="s">
        <v>101</v>
      </c>
      <c r="D73" s="6">
        <f>F73*G73</f>
        <v>0.5</v>
      </c>
      <c r="E73" s="6"/>
      <c r="F73" s="6">
        <v>0.5</v>
      </c>
      <c r="G73" s="38">
        <v>1</v>
      </c>
    </row>
    <row r="74" spans="1:7" ht="15">
      <c r="A74" s="235"/>
      <c r="B74" s="11"/>
      <c r="C74" s="9" t="s">
        <v>174</v>
      </c>
      <c r="D74" s="6">
        <f>F74*G74</f>
        <v>6</v>
      </c>
      <c r="E74" s="6"/>
      <c r="F74" s="6">
        <v>6</v>
      </c>
      <c r="G74" s="38">
        <v>1</v>
      </c>
    </row>
    <row r="75" spans="1:7" ht="15">
      <c r="A75" s="235"/>
      <c r="B75" s="53"/>
      <c r="C75" s="7" t="s">
        <v>75</v>
      </c>
      <c r="D75" s="7">
        <f>SUM(D67:D74)</f>
        <v>11</v>
      </c>
      <c r="E75" s="7"/>
      <c r="F75" s="7"/>
      <c r="G75" s="54"/>
    </row>
    <row r="76" spans="1:7" ht="15" thickBot="1">
      <c r="A76" s="221" t="s">
        <v>59</v>
      </c>
      <c r="B76" s="222"/>
      <c r="C76" s="223"/>
      <c r="D76" s="55">
        <f>D13+D27+D39+D52+D66+D75</f>
        <v>107</v>
      </c>
      <c r="E76" s="55"/>
      <c r="F76" s="55"/>
      <c r="G76" s="56"/>
    </row>
    <row r="77" spans="1:7" ht="15" thickTop="1"/>
  </sheetData>
  <mergeCells count="16">
    <mergeCell ref="C3:G3"/>
    <mergeCell ref="A76:C76"/>
    <mergeCell ref="A1:B1"/>
    <mergeCell ref="A2:B2"/>
    <mergeCell ref="F1:G1"/>
    <mergeCell ref="F2:G2"/>
    <mergeCell ref="C1:D1"/>
    <mergeCell ref="C2:D2"/>
    <mergeCell ref="A6:A13"/>
    <mergeCell ref="A14:A27"/>
    <mergeCell ref="A28:A39"/>
    <mergeCell ref="A40:A52"/>
    <mergeCell ref="A53:A66"/>
    <mergeCell ref="A4:G4"/>
    <mergeCell ref="A3:B3"/>
    <mergeCell ref="A67:A75"/>
  </mergeCells>
  <phoneticPr fontId="2" type="noConversion"/>
  <pageMargins left="0.7" right="0.7" top="0.75" bottom="0.75" header="0.3" footer="0.3"/>
  <pageSetup paperSize="9" orientation="portrait" r:id="rId1"/>
  <headerFooter>
    <oddHeader>&amp;C&amp;16质量保证工作量估计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F35"/>
  <sheetViews>
    <sheetView tabSelected="1" view="pageLayout" zoomScale="115" zoomScaleNormal="100" zoomScalePageLayoutView="115" workbookViewId="0">
      <selection activeCell="B7" sqref="B7"/>
    </sheetView>
  </sheetViews>
  <sheetFormatPr baseColWidth="10" defaultColWidth="8.83203125" defaultRowHeight="14"/>
  <cols>
    <col min="1" max="1" width="14.83203125" customWidth="1"/>
    <col min="2" max="2" width="21.33203125" customWidth="1"/>
    <col min="4" max="4" width="10.6640625" customWidth="1"/>
    <col min="5" max="5" width="19.33203125" customWidth="1"/>
    <col min="6" max="6" width="11.5" customWidth="1"/>
    <col min="7" max="7" width="5.1640625" customWidth="1"/>
  </cols>
  <sheetData>
    <row r="1" spans="1:6" ht="16" thickTop="1">
      <c r="A1" s="32" t="s">
        <v>42</v>
      </c>
      <c r="B1" s="217" t="s">
        <v>254</v>
      </c>
      <c r="C1" s="225"/>
      <c r="D1" s="33" t="s">
        <v>130</v>
      </c>
      <c r="E1" s="243" t="s">
        <v>253</v>
      </c>
      <c r="F1" s="244"/>
    </row>
    <row r="2" spans="1:6" ht="15">
      <c r="A2" s="36" t="s">
        <v>55</v>
      </c>
      <c r="B2" s="219" t="s">
        <v>226</v>
      </c>
      <c r="C2" s="241"/>
      <c r="D2" s="35" t="s">
        <v>56</v>
      </c>
      <c r="E2" s="219" t="s">
        <v>132</v>
      </c>
      <c r="F2" s="245"/>
    </row>
    <row r="3" spans="1:6" ht="48" customHeight="1">
      <c r="A3" s="36" t="s">
        <v>137</v>
      </c>
      <c r="B3" s="210" t="s">
        <v>139</v>
      </c>
      <c r="C3" s="210"/>
      <c r="D3" s="210"/>
      <c r="E3" s="210"/>
      <c r="F3" s="246"/>
    </row>
    <row r="4" spans="1:6">
      <c r="A4" s="212" t="s">
        <v>131</v>
      </c>
      <c r="B4" s="213"/>
      <c r="C4" s="213"/>
      <c r="D4" s="213"/>
      <c r="E4" s="213"/>
      <c r="F4" s="242"/>
    </row>
    <row r="5" spans="1:6" ht="30">
      <c r="A5" s="49"/>
      <c r="B5" s="4" t="s">
        <v>102</v>
      </c>
      <c r="C5" s="14" t="s">
        <v>124</v>
      </c>
      <c r="D5" s="14" t="s">
        <v>103</v>
      </c>
      <c r="E5" s="14" t="s">
        <v>138</v>
      </c>
      <c r="F5" s="50" t="s">
        <v>104</v>
      </c>
    </row>
    <row r="6" spans="1:6" ht="15">
      <c r="A6" s="234" t="s">
        <v>105</v>
      </c>
      <c r="B6" s="6" t="s">
        <v>106</v>
      </c>
      <c r="C6" s="6">
        <f>D6*E6*F6</f>
        <v>6</v>
      </c>
      <c r="D6" s="6">
        <v>1</v>
      </c>
      <c r="E6" s="6">
        <v>2</v>
      </c>
      <c r="F6" s="20">
        <v>3</v>
      </c>
    </row>
    <row r="7" spans="1:6" ht="15">
      <c r="A7" s="235"/>
      <c r="B7" s="6" t="s">
        <v>175</v>
      </c>
      <c r="C7" s="6">
        <f>D7*E7*F7</f>
        <v>10</v>
      </c>
      <c r="D7" s="6">
        <v>1</v>
      </c>
      <c r="E7" s="6">
        <v>2</v>
      </c>
      <c r="F7" s="20">
        <v>5</v>
      </c>
    </row>
    <row r="8" spans="1:6" ht="15">
      <c r="A8" s="235"/>
      <c r="B8" s="6" t="s">
        <v>107</v>
      </c>
      <c r="C8" s="6">
        <f>D8*E8*F8</f>
        <v>4</v>
      </c>
      <c r="D8" s="6">
        <v>1</v>
      </c>
      <c r="E8" s="6">
        <v>0.5</v>
      </c>
      <c r="F8" s="20">
        <v>8</v>
      </c>
    </row>
    <row r="9" spans="1:6" ht="15">
      <c r="A9" s="235"/>
      <c r="B9" s="6" t="s">
        <v>176</v>
      </c>
      <c r="C9" s="6">
        <f>D9*E9*F9</f>
        <v>1</v>
      </c>
      <c r="D9" s="6">
        <v>1</v>
      </c>
      <c r="E9" s="6">
        <v>1</v>
      </c>
      <c r="F9" s="20">
        <v>1</v>
      </c>
    </row>
    <row r="10" spans="1:6" ht="15">
      <c r="A10" s="236"/>
      <c r="B10" s="5" t="s">
        <v>108</v>
      </c>
      <c r="C10" s="5">
        <f>SUM(C6:C9)</f>
        <v>21</v>
      </c>
      <c r="D10" s="6"/>
      <c r="E10" s="6"/>
      <c r="F10" s="20"/>
    </row>
    <row r="11" spans="1:6" ht="15">
      <c r="A11" s="234" t="s">
        <v>73</v>
      </c>
      <c r="B11" s="6" t="s">
        <v>109</v>
      </c>
      <c r="C11" s="6">
        <f>D11*E11*F11</f>
        <v>3</v>
      </c>
      <c r="D11" s="6">
        <v>3</v>
      </c>
      <c r="E11" s="6">
        <v>1</v>
      </c>
      <c r="F11" s="20">
        <v>1</v>
      </c>
    </row>
    <row r="12" spans="1:6" ht="15">
      <c r="A12" s="235"/>
      <c r="B12" s="6" t="s">
        <v>110</v>
      </c>
      <c r="C12" s="6">
        <f>D12*E12*F12</f>
        <v>16</v>
      </c>
      <c r="D12" s="6">
        <v>1</v>
      </c>
      <c r="E12" s="6">
        <v>2</v>
      </c>
      <c r="F12" s="20">
        <v>8</v>
      </c>
    </row>
    <row r="13" spans="1:6" ht="15">
      <c r="A13" s="235"/>
      <c r="B13" s="6" t="s">
        <v>107</v>
      </c>
      <c r="C13" s="6">
        <f>D13*E13*F13</f>
        <v>12</v>
      </c>
      <c r="D13" s="6">
        <v>3</v>
      </c>
      <c r="E13" s="6">
        <v>0.5</v>
      </c>
      <c r="F13" s="20">
        <v>8</v>
      </c>
    </row>
    <row r="14" spans="1:6" ht="15">
      <c r="A14" s="236"/>
      <c r="B14" s="5" t="s">
        <v>108</v>
      </c>
      <c r="C14" s="5">
        <f>SUM(C11:C13)</f>
        <v>31</v>
      </c>
      <c r="D14" s="5"/>
      <c r="E14" s="5"/>
      <c r="F14" s="21"/>
    </row>
    <row r="15" spans="1:6" ht="15">
      <c r="A15" s="234" t="s">
        <v>217</v>
      </c>
      <c r="B15" s="6" t="s">
        <v>111</v>
      </c>
      <c r="C15" s="6">
        <f>D15*E15*F15</f>
        <v>2</v>
      </c>
      <c r="D15" s="6">
        <v>1</v>
      </c>
      <c r="E15" s="6">
        <v>2</v>
      </c>
      <c r="F15" s="22">
        <v>1</v>
      </c>
    </row>
    <row r="16" spans="1:6" ht="30">
      <c r="A16" s="235"/>
      <c r="B16" s="6" t="s">
        <v>112</v>
      </c>
      <c r="C16" s="6">
        <f>D16*E16*F16</f>
        <v>2</v>
      </c>
      <c r="D16" s="6">
        <v>2</v>
      </c>
      <c r="E16" s="6">
        <v>1</v>
      </c>
      <c r="F16" s="22">
        <v>1</v>
      </c>
    </row>
    <row r="17" spans="1:6" ht="15">
      <c r="A17" s="235"/>
      <c r="B17" s="6" t="s">
        <v>107</v>
      </c>
      <c r="C17" s="6">
        <f>D17*E17*F17</f>
        <v>8</v>
      </c>
      <c r="D17" s="6">
        <v>2</v>
      </c>
      <c r="E17" s="6">
        <v>0.5</v>
      </c>
      <c r="F17" s="20">
        <v>8</v>
      </c>
    </row>
    <row r="18" spans="1:6" ht="15">
      <c r="A18" s="236"/>
      <c r="B18" s="5" t="s">
        <v>108</v>
      </c>
      <c r="C18" s="5">
        <f>SUM(C15:C17)</f>
        <v>12</v>
      </c>
      <c r="D18" s="5"/>
      <c r="E18" s="5"/>
      <c r="F18" s="21"/>
    </row>
    <row r="19" spans="1:6" ht="15">
      <c r="A19" s="234" t="s">
        <v>218</v>
      </c>
      <c r="B19" s="6" t="s">
        <v>111</v>
      </c>
      <c r="C19" s="6">
        <f>D19*E19*F19</f>
        <v>2</v>
      </c>
      <c r="D19" s="6">
        <v>1</v>
      </c>
      <c r="E19" s="6">
        <v>2</v>
      </c>
      <c r="F19" s="20">
        <v>1</v>
      </c>
    </row>
    <row r="20" spans="1:6" ht="15">
      <c r="A20" s="235"/>
      <c r="B20" s="6" t="s">
        <v>107</v>
      </c>
      <c r="C20" s="6">
        <f>D20*E20*F20</f>
        <v>20</v>
      </c>
      <c r="D20" s="6">
        <v>5</v>
      </c>
      <c r="E20" s="6">
        <v>0.5</v>
      </c>
      <c r="F20" s="20">
        <v>8</v>
      </c>
    </row>
    <row r="21" spans="1:6" ht="30">
      <c r="A21" s="235"/>
      <c r="B21" s="6" t="s">
        <v>114</v>
      </c>
      <c r="C21" s="6">
        <f t="shared" ref="C21" si="0">D21*E21*F21</f>
        <v>5</v>
      </c>
      <c r="D21" s="6">
        <v>5</v>
      </c>
      <c r="E21" s="6">
        <v>1</v>
      </c>
      <c r="F21" s="20">
        <v>1</v>
      </c>
    </row>
    <row r="22" spans="1:6" ht="15">
      <c r="A22" s="236"/>
      <c r="B22" s="5" t="s">
        <v>108</v>
      </c>
      <c r="C22" s="5">
        <f>SUM(C19:C21)</f>
        <v>27</v>
      </c>
      <c r="D22" s="5"/>
      <c r="E22" s="5"/>
      <c r="F22" s="21"/>
    </row>
    <row r="23" spans="1:6" ht="15">
      <c r="A23" s="234" t="s">
        <v>219</v>
      </c>
      <c r="B23" s="6" t="s">
        <v>111</v>
      </c>
      <c r="C23" s="6">
        <f>D23*E23*F23</f>
        <v>2</v>
      </c>
      <c r="D23" s="6">
        <v>1</v>
      </c>
      <c r="E23" s="6">
        <v>2</v>
      </c>
      <c r="F23" s="20">
        <v>1</v>
      </c>
    </row>
    <row r="24" spans="1:6" ht="15">
      <c r="A24" s="235"/>
      <c r="B24" s="6" t="s">
        <v>107</v>
      </c>
      <c r="C24" s="6">
        <f>D24*E24*F24</f>
        <v>28</v>
      </c>
      <c r="D24" s="6">
        <v>7</v>
      </c>
      <c r="E24" s="6">
        <v>0.5</v>
      </c>
      <c r="F24" s="20">
        <v>8</v>
      </c>
    </row>
    <row r="25" spans="1:6" ht="30">
      <c r="A25" s="235"/>
      <c r="B25" s="6" t="s">
        <v>114</v>
      </c>
      <c r="C25" s="6">
        <f t="shared" ref="C25" si="1">D25*E25*F25</f>
        <v>7</v>
      </c>
      <c r="D25" s="6">
        <v>7</v>
      </c>
      <c r="E25" s="6">
        <v>1</v>
      </c>
      <c r="F25" s="20">
        <v>1</v>
      </c>
    </row>
    <row r="26" spans="1:6" ht="15">
      <c r="A26" s="236"/>
      <c r="B26" s="5" t="s">
        <v>108</v>
      </c>
      <c r="C26" s="5">
        <f>SUM(C23:C25)</f>
        <v>37</v>
      </c>
      <c r="D26" s="5"/>
      <c r="E26" s="5"/>
      <c r="F26" s="21"/>
    </row>
    <row r="27" spans="1:6" ht="15">
      <c r="A27" s="234" t="s">
        <v>77</v>
      </c>
      <c r="B27" s="10" t="s">
        <v>111</v>
      </c>
      <c r="C27" s="10">
        <f>D27*E27*F27</f>
        <v>2</v>
      </c>
      <c r="D27" s="6">
        <v>1</v>
      </c>
      <c r="E27" s="6">
        <v>2</v>
      </c>
      <c r="F27" s="20">
        <v>1</v>
      </c>
    </row>
    <row r="28" spans="1:6" ht="15">
      <c r="A28" s="235"/>
      <c r="B28" s="10" t="s">
        <v>113</v>
      </c>
      <c r="C28" s="10">
        <f>D28*E28*F28</f>
        <v>12</v>
      </c>
      <c r="D28" s="6">
        <v>3</v>
      </c>
      <c r="E28" s="6">
        <v>0.5</v>
      </c>
      <c r="F28" s="20">
        <v>8</v>
      </c>
    </row>
    <row r="29" spans="1:6" ht="30">
      <c r="A29" s="235"/>
      <c r="B29" s="10" t="s">
        <v>114</v>
      </c>
      <c r="C29" s="10">
        <f t="shared" ref="C29" si="2">D29*E29*F29</f>
        <v>3</v>
      </c>
      <c r="D29" s="6">
        <v>3</v>
      </c>
      <c r="E29" s="6">
        <v>1</v>
      </c>
      <c r="F29" s="20">
        <v>1</v>
      </c>
    </row>
    <row r="30" spans="1:6" ht="15">
      <c r="A30" s="236"/>
      <c r="B30" s="13" t="s">
        <v>108</v>
      </c>
      <c r="C30" s="13">
        <f>SUM(C27:C29)</f>
        <v>17</v>
      </c>
      <c r="D30" s="5"/>
      <c r="E30" s="5"/>
      <c r="F30" s="21"/>
    </row>
    <row r="31" spans="1:6" ht="15">
      <c r="A31" s="234" t="s">
        <v>177</v>
      </c>
      <c r="B31" s="10" t="s">
        <v>111</v>
      </c>
      <c r="C31" s="10">
        <f>D31*E31*F31</f>
        <v>1</v>
      </c>
      <c r="D31" s="6">
        <v>1</v>
      </c>
      <c r="E31" s="6">
        <v>1</v>
      </c>
      <c r="F31" s="20">
        <v>1</v>
      </c>
    </row>
    <row r="32" spans="1:6" ht="15">
      <c r="A32" s="235"/>
      <c r="B32" s="10" t="s">
        <v>113</v>
      </c>
      <c r="C32" s="10">
        <f>D32*E32*F32</f>
        <v>4</v>
      </c>
      <c r="D32" s="6">
        <v>1</v>
      </c>
      <c r="E32" s="6">
        <v>0.5</v>
      </c>
      <c r="F32" s="20">
        <v>8</v>
      </c>
    </row>
    <row r="33" spans="1:6" ht="30">
      <c r="A33" s="235"/>
      <c r="B33" s="10" t="s">
        <v>114</v>
      </c>
      <c r="C33" s="10">
        <f t="shared" ref="C33" si="3">D33*E33*F33</f>
        <v>1</v>
      </c>
      <c r="D33" s="6">
        <v>1</v>
      </c>
      <c r="E33" s="6">
        <v>1</v>
      </c>
      <c r="F33" s="20">
        <v>1</v>
      </c>
    </row>
    <row r="34" spans="1:6" ht="15">
      <c r="A34" s="236"/>
      <c r="B34" s="13" t="s">
        <v>108</v>
      </c>
      <c r="C34" s="13">
        <f>SUM(C31:C33)</f>
        <v>6</v>
      </c>
      <c r="D34" s="5"/>
      <c r="E34" s="5"/>
      <c r="F34" s="21"/>
    </row>
    <row r="35" spans="1:6" ht="16" thickBot="1">
      <c r="A35" s="34" t="s">
        <v>59</v>
      </c>
      <c r="B35" s="23"/>
      <c r="C35" s="24">
        <f>C10+C14+C18+C22+C26+C30+C34</f>
        <v>151</v>
      </c>
      <c r="D35" s="25"/>
      <c r="E35" s="25"/>
      <c r="F35" s="26"/>
    </row>
  </sheetData>
  <mergeCells count="13">
    <mergeCell ref="A4:F4"/>
    <mergeCell ref="B1:C1"/>
    <mergeCell ref="B2:C2"/>
    <mergeCell ref="E1:F1"/>
    <mergeCell ref="E2:F2"/>
    <mergeCell ref="B3:F3"/>
    <mergeCell ref="A31:A34"/>
    <mergeCell ref="A6:A10"/>
    <mergeCell ref="A11:A14"/>
    <mergeCell ref="A15:A18"/>
    <mergeCell ref="A23:A26"/>
    <mergeCell ref="A27:A30"/>
    <mergeCell ref="A19:A22"/>
  </mergeCells>
  <phoneticPr fontId="2" type="noConversion"/>
  <pageMargins left="0.25" right="0.25" top="0.75" bottom="0.75" header="0.3" footer="0.3"/>
  <pageSetup paperSize="9" orientation="portrait" r:id="rId1"/>
  <headerFooter>
    <oddHeader xml:space="preserve">&amp;C&amp;16测量、监控等管理工作量估计&amp;R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"/>
  <sheetViews>
    <sheetView view="pageLayout" zoomScaleNormal="100" workbookViewId="0">
      <selection activeCell="D8" sqref="D8:D11"/>
    </sheetView>
  </sheetViews>
  <sheetFormatPr baseColWidth="10" defaultColWidth="8.83203125" defaultRowHeight="14"/>
  <cols>
    <col min="1" max="1" width="6.33203125" customWidth="1"/>
    <col min="2" max="2" width="17.6640625" customWidth="1"/>
    <col min="3" max="3" width="26.1640625" customWidth="1"/>
    <col min="4" max="4" width="11.5" customWidth="1"/>
    <col min="5" max="5" width="22.1640625" customWidth="1"/>
  </cols>
  <sheetData>
    <row r="1" spans="1:5" ht="17" thickTop="1">
      <c r="A1" s="249" t="s">
        <v>42</v>
      </c>
      <c r="B1" s="250"/>
      <c r="C1" s="46" t="s">
        <v>262</v>
      </c>
      <c r="D1" s="28" t="s">
        <v>130</v>
      </c>
      <c r="E1" s="47" t="s">
        <v>189</v>
      </c>
    </row>
    <row r="2" spans="1:5" ht="16">
      <c r="A2" s="251" t="s">
        <v>55</v>
      </c>
      <c r="B2" s="252"/>
      <c r="C2" s="16" t="s">
        <v>188</v>
      </c>
      <c r="D2" s="15" t="s">
        <v>56</v>
      </c>
      <c r="E2" s="45" t="s">
        <v>132</v>
      </c>
    </row>
    <row r="3" spans="1:5" ht="78" customHeight="1">
      <c r="A3" s="256" t="s">
        <v>141</v>
      </c>
      <c r="B3" s="257"/>
      <c r="C3" s="258" t="s">
        <v>147</v>
      </c>
      <c r="D3" s="258"/>
      <c r="E3" s="259"/>
    </row>
    <row r="4" spans="1:5" ht="15">
      <c r="A4" s="253" t="s">
        <v>131</v>
      </c>
      <c r="B4" s="254"/>
      <c r="C4" s="254"/>
      <c r="D4" s="254"/>
      <c r="E4" s="255"/>
    </row>
    <row r="5" spans="1:5" ht="32">
      <c r="A5" s="42" t="s">
        <v>123</v>
      </c>
      <c r="B5" s="43" t="s">
        <v>115</v>
      </c>
      <c r="C5" s="43" t="s">
        <v>116</v>
      </c>
      <c r="D5" s="48" t="s">
        <v>125</v>
      </c>
      <c r="E5" s="44" t="s">
        <v>126</v>
      </c>
    </row>
    <row r="6" spans="1:5" ht="16">
      <c r="A6" s="31">
        <v>1</v>
      </c>
      <c r="B6" s="17" t="s">
        <v>206</v>
      </c>
      <c r="C6" s="18">
        <v>4</v>
      </c>
      <c r="D6" s="27">
        <v>2</v>
      </c>
      <c r="E6" s="29">
        <f>C6*D6</f>
        <v>8</v>
      </c>
    </row>
    <row r="7" spans="1:5" ht="16">
      <c r="A7" s="31">
        <v>1</v>
      </c>
      <c r="B7" s="17" t="s">
        <v>117</v>
      </c>
      <c r="C7" s="18">
        <v>5</v>
      </c>
      <c r="D7" s="27">
        <v>1</v>
      </c>
      <c r="E7" s="29">
        <f>C7*D7</f>
        <v>5</v>
      </c>
    </row>
    <row r="8" spans="1:5" ht="16">
      <c r="A8" s="31">
        <v>2</v>
      </c>
      <c r="B8" s="17" t="s">
        <v>48</v>
      </c>
      <c r="C8" s="260">
        <v>8</v>
      </c>
      <c r="D8" s="263">
        <v>2</v>
      </c>
      <c r="E8" s="266">
        <f t="shared" ref="E8:E22" si="0">C8*D8</f>
        <v>16</v>
      </c>
    </row>
    <row r="9" spans="1:5" ht="16">
      <c r="A9" s="31">
        <v>3</v>
      </c>
      <c r="B9" s="17" t="s">
        <v>118</v>
      </c>
      <c r="C9" s="261"/>
      <c r="D9" s="264"/>
      <c r="E9" s="267"/>
    </row>
    <row r="10" spans="1:5" ht="16">
      <c r="A10" s="31">
        <v>4</v>
      </c>
      <c r="B10" s="17" t="s">
        <v>119</v>
      </c>
      <c r="C10" s="261"/>
      <c r="D10" s="264"/>
      <c r="E10" s="267"/>
    </row>
    <row r="11" spans="1:5" ht="16">
      <c r="A11" s="31">
        <v>5</v>
      </c>
      <c r="B11" s="17" t="s">
        <v>120</v>
      </c>
      <c r="C11" s="262"/>
      <c r="D11" s="265"/>
      <c r="E11" s="268"/>
    </row>
    <row r="12" spans="1:5" ht="16">
      <c r="A12" s="31">
        <v>6</v>
      </c>
      <c r="B12" s="17" t="s">
        <v>121</v>
      </c>
      <c r="C12" s="18">
        <v>5</v>
      </c>
      <c r="D12" s="27">
        <v>2</v>
      </c>
      <c r="E12" s="29">
        <f t="shared" si="0"/>
        <v>10</v>
      </c>
    </row>
    <row r="13" spans="1:5" ht="16">
      <c r="A13" s="31">
        <v>7</v>
      </c>
      <c r="B13" s="17" t="s">
        <v>178</v>
      </c>
      <c r="C13" s="18">
        <v>4</v>
      </c>
      <c r="D13" s="27">
        <v>0.5</v>
      </c>
      <c r="E13" s="29">
        <f t="shared" si="0"/>
        <v>2</v>
      </c>
    </row>
    <row r="14" spans="1:5" ht="16">
      <c r="A14" s="31">
        <v>8</v>
      </c>
      <c r="B14" s="17" t="s">
        <v>207</v>
      </c>
      <c r="C14" s="18">
        <v>6</v>
      </c>
      <c r="D14" s="27">
        <v>2</v>
      </c>
      <c r="E14" s="29">
        <f t="shared" si="0"/>
        <v>12</v>
      </c>
    </row>
    <row r="15" spans="1:5" ht="16">
      <c r="A15" s="31">
        <v>9</v>
      </c>
      <c r="B15" s="17" t="s">
        <v>208</v>
      </c>
      <c r="C15" s="18">
        <v>6</v>
      </c>
      <c r="D15" s="27">
        <v>2</v>
      </c>
      <c r="E15" s="29">
        <f t="shared" ref="E15:E16" si="1">C15*D15</f>
        <v>12</v>
      </c>
    </row>
    <row r="16" spans="1:5" ht="16">
      <c r="A16" s="31">
        <v>10</v>
      </c>
      <c r="B16" s="17" t="s">
        <v>209</v>
      </c>
      <c r="C16" s="18">
        <v>5</v>
      </c>
      <c r="D16" s="27">
        <v>0.5</v>
      </c>
      <c r="E16" s="29">
        <f t="shared" si="1"/>
        <v>2.5</v>
      </c>
    </row>
    <row r="17" spans="1:5" ht="16">
      <c r="A17" s="31">
        <v>11</v>
      </c>
      <c r="B17" s="17" t="s">
        <v>210</v>
      </c>
      <c r="C17" s="18">
        <v>5</v>
      </c>
      <c r="D17" s="27">
        <v>1</v>
      </c>
      <c r="E17" s="29">
        <f t="shared" si="0"/>
        <v>5</v>
      </c>
    </row>
    <row r="18" spans="1:5" ht="16">
      <c r="A18" s="31">
        <v>12</v>
      </c>
      <c r="B18" s="17" t="s">
        <v>122</v>
      </c>
      <c r="C18" s="18">
        <v>5</v>
      </c>
      <c r="D18" s="27">
        <v>1</v>
      </c>
      <c r="E18" s="29">
        <f t="shared" si="0"/>
        <v>5</v>
      </c>
    </row>
    <row r="19" spans="1:5" ht="16">
      <c r="A19" s="31">
        <v>13</v>
      </c>
      <c r="B19" s="17" t="s">
        <v>179</v>
      </c>
      <c r="C19" s="18">
        <v>5</v>
      </c>
      <c r="D19" s="27">
        <v>2</v>
      </c>
      <c r="E19" s="29">
        <f t="shared" ref="E19:E21" si="2">C19*D19</f>
        <v>10</v>
      </c>
    </row>
    <row r="20" spans="1:5" ht="16">
      <c r="A20" s="31">
        <v>14</v>
      </c>
      <c r="B20" s="17" t="s">
        <v>180</v>
      </c>
      <c r="C20" s="18">
        <v>5</v>
      </c>
      <c r="D20" s="27">
        <v>1</v>
      </c>
      <c r="E20" s="29">
        <f t="shared" si="2"/>
        <v>5</v>
      </c>
    </row>
    <row r="21" spans="1:5" ht="16">
      <c r="A21" s="31">
        <v>15</v>
      </c>
      <c r="B21" s="17" t="s">
        <v>211</v>
      </c>
      <c r="C21" s="93">
        <v>7</v>
      </c>
      <c r="D21" s="94">
        <v>1</v>
      </c>
      <c r="E21" s="29">
        <f t="shared" si="2"/>
        <v>7</v>
      </c>
    </row>
    <row r="22" spans="1:5" ht="16">
      <c r="A22" s="31">
        <v>16</v>
      </c>
      <c r="B22" s="17" t="s">
        <v>212</v>
      </c>
      <c r="C22" s="93">
        <v>7</v>
      </c>
      <c r="D22" s="94">
        <v>1</v>
      </c>
      <c r="E22" s="29">
        <f t="shared" si="0"/>
        <v>7</v>
      </c>
    </row>
    <row r="23" spans="1:5" ht="16" thickBot="1">
      <c r="A23" s="247" t="s">
        <v>59</v>
      </c>
      <c r="B23" s="248"/>
      <c r="C23" s="19"/>
      <c r="D23" s="19"/>
      <c r="E23" s="30">
        <f>SUM(E6:E22)</f>
        <v>106.5</v>
      </c>
    </row>
  </sheetData>
  <mergeCells count="9">
    <mergeCell ref="A23:B23"/>
    <mergeCell ref="A1:B1"/>
    <mergeCell ref="A2:B2"/>
    <mergeCell ref="A4:E4"/>
    <mergeCell ref="A3:B3"/>
    <mergeCell ref="C3:E3"/>
    <mergeCell ref="C8:C11"/>
    <mergeCell ref="D8:D11"/>
    <mergeCell ref="E8:E11"/>
  </mergeCells>
  <phoneticPr fontId="2" type="noConversion"/>
  <pageMargins left="0.7" right="0.7" top="0.75" bottom="0.75" header="0.3" footer="0.3"/>
  <pageSetup paperSize="9" orientation="portrait" r:id="rId1"/>
  <headerFooter>
    <oddHeader>&amp;C&amp;16评审工作量估计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7"/>
  <sheetViews>
    <sheetView view="pageLayout" topLeftCell="A7" zoomScaleNormal="100" workbookViewId="0">
      <selection activeCell="F15" sqref="F15"/>
    </sheetView>
  </sheetViews>
  <sheetFormatPr baseColWidth="10" defaultColWidth="8.83203125" defaultRowHeight="14"/>
  <cols>
    <col min="2" max="2" width="4.5" customWidth="1"/>
    <col min="3" max="3" width="6.1640625" customWidth="1"/>
    <col min="4" max="4" width="21.5" customWidth="1"/>
    <col min="5" max="5" width="6.1640625" customWidth="1"/>
    <col min="6" max="6" width="6.5" customWidth="1"/>
    <col min="7" max="7" width="10.6640625" customWidth="1"/>
    <col min="8" max="8" width="11" customWidth="1"/>
    <col min="9" max="9" width="9.1640625" customWidth="1"/>
  </cols>
  <sheetData>
    <row r="1" spans="1:9" ht="24.5" customHeight="1" thickTop="1">
      <c r="A1" s="288" t="s">
        <v>0</v>
      </c>
      <c r="B1" s="289"/>
      <c r="C1" s="300" t="s">
        <v>262</v>
      </c>
      <c r="D1" s="120"/>
      <c r="E1" s="120"/>
      <c r="F1" s="119"/>
      <c r="G1" s="73" t="s">
        <v>1</v>
      </c>
      <c r="H1" s="118" t="s">
        <v>189</v>
      </c>
      <c r="I1" s="121"/>
    </row>
    <row r="2" spans="1:9" ht="18.5" customHeight="1">
      <c r="A2" s="269" t="s">
        <v>54</v>
      </c>
      <c r="B2" s="270"/>
      <c r="C2" s="270"/>
      <c r="D2" s="270"/>
      <c r="E2" s="270"/>
      <c r="F2" s="270"/>
      <c r="G2" s="270"/>
      <c r="H2" s="270"/>
      <c r="I2" s="271"/>
    </row>
    <row r="3" spans="1:9" ht="15.5" customHeight="1">
      <c r="A3" s="290" t="s">
        <v>55</v>
      </c>
      <c r="B3" s="298"/>
      <c r="C3" s="126" t="str">
        <f>'汇总表(文档相关)ok'!B2</f>
        <v>穆笑岩高蕾 张晓丰方小娟</v>
      </c>
      <c r="D3" s="125"/>
      <c r="E3" s="299" t="s">
        <v>56</v>
      </c>
      <c r="F3" s="298"/>
      <c r="G3" s="126" t="str">
        <f>'汇总表(文档相关)ok'!D3</f>
        <v>专家估计法</v>
      </c>
      <c r="H3" s="108"/>
      <c r="I3" s="109"/>
    </row>
    <row r="4" spans="1:9" ht="114.75" customHeight="1">
      <c r="A4" s="290" t="s">
        <v>53</v>
      </c>
      <c r="B4" s="291"/>
      <c r="C4" s="103" t="str">
        <f>'汇总表(文档相关)ok'!E4</f>
        <v>文档规模估计基于：
1）文档假设采用公司模板编写，页面设置为A4，字号为小四；
2）出所测试文档假设按照配置项测试文档模板编写；
3）文档规模包含封面在内的所有页；
4）参考软件研制任务书的功能数量；
5）参考XXXXXX项目；
6）专家法估计偏差阈值按20%考虑。</v>
      </c>
      <c r="D4" s="128"/>
      <c r="E4" s="128"/>
      <c r="F4" s="128"/>
      <c r="G4" s="128"/>
      <c r="H4" s="128"/>
      <c r="I4" s="129"/>
    </row>
    <row r="5" spans="1:9" ht="18" customHeight="1">
      <c r="A5" s="269" t="s">
        <v>57</v>
      </c>
      <c r="B5" s="286"/>
      <c r="C5" s="286"/>
      <c r="D5" s="286"/>
      <c r="E5" s="286"/>
      <c r="F5" s="286"/>
      <c r="G5" s="286"/>
      <c r="H5" s="286"/>
      <c r="I5" s="287"/>
    </row>
    <row r="6" spans="1:9" ht="21.5" customHeight="1">
      <c r="A6" s="290" t="s">
        <v>160</v>
      </c>
      <c r="B6" s="298"/>
      <c r="C6" s="198" t="str">
        <f>'汇总表(代码相关)'!B2</f>
        <v>穆笑岩张晓丰刁鹏孙贵磊</v>
      </c>
      <c r="D6" s="200"/>
      <c r="E6" s="296" t="s">
        <v>56</v>
      </c>
      <c r="F6" s="297"/>
      <c r="G6" s="198" t="str">
        <f>'汇总表(代码相关)'!D3</f>
        <v>专家估计法</v>
      </c>
      <c r="H6" s="199"/>
      <c r="I6" s="295"/>
    </row>
    <row r="7" spans="1:9" ht="132" customHeight="1">
      <c r="A7" s="290" t="s">
        <v>53</v>
      </c>
      <c r="B7" s="291"/>
      <c r="C7" s="292" t="str">
        <f>'汇总表(代码相关)'!E4</f>
        <v>代码规模估计基于：
1）软件源代码的度量按源代码行（LOC）计算，只考虑有效代码行，不考虑注释。
2）软件采用B/S架构，国产化麒麟系统和达梦数据库，代码编写采用C++、Java和JS语言，使用微软VS Code和IDEA开发工具；
3）参考XXXXXX的开发经验和规模经验；
4）参考软件研制任务书中的功能点数量；
5）只对可能发生变化或新增的软件工作产品进行估计。
6）专家法估计偏差阈值按20%考虑。</v>
      </c>
      <c r="D7" s="293"/>
      <c r="E7" s="293"/>
      <c r="F7" s="293"/>
      <c r="G7" s="293"/>
      <c r="H7" s="293"/>
      <c r="I7" s="294"/>
    </row>
    <row r="8" spans="1:9" ht="23" customHeight="1">
      <c r="A8" s="269" t="s">
        <v>58</v>
      </c>
      <c r="B8" s="286"/>
      <c r="C8" s="286"/>
      <c r="D8" s="286"/>
      <c r="E8" s="286"/>
      <c r="F8" s="286"/>
      <c r="G8" s="286"/>
      <c r="H8" s="286"/>
      <c r="I8" s="287"/>
    </row>
    <row r="9" spans="1:9">
      <c r="A9" s="166" t="s">
        <v>7</v>
      </c>
      <c r="B9" s="167" t="s">
        <v>8</v>
      </c>
      <c r="C9" s="167"/>
      <c r="D9" s="167"/>
      <c r="E9" s="167" t="s">
        <v>9</v>
      </c>
      <c r="F9" s="168" t="s">
        <v>10</v>
      </c>
      <c r="G9" s="168"/>
      <c r="H9" s="168"/>
      <c r="I9" s="189" t="s">
        <v>64</v>
      </c>
    </row>
    <row r="10" spans="1:9" ht="15">
      <c r="A10" s="166"/>
      <c r="B10" s="167"/>
      <c r="C10" s="167"/>
      <c r="D10" s="167"/>
      <c r="E10" s="167"/>
      <c r="F10" s="72" t="s">
        <v>12</v>
      </c>
      <c r="G10" s="72" t="s">
        <v>13</v>
      </c>
      <c r="H10" s="72" t="s">
        <v>23</v>
      </c>
      <c r="I10" s="189"/>
    </row>
    <row r="11" spans="1:9" ht="15">
      <c r="A11" s="74">
        <v>1</v>
      </c>
      <c r="B11" s="278" t="str">
        <f>'汇总表(文档相关)ok'!B8</f>
        <v>软件开发计划</v>
      </c>
      <c r="C11" s="278"/>
      <c r="D11" s="278"/>
      <c r="E11" s="71" t="str">
        <f>'汇总表(文档相关)ok'!F8</f>
        <v>页</v>
      </c>
      <c r="F11" s="75">
        <f>'汇总表(文档相关)ok'!M8</f>
        <v>35</v>
      </c>
      <c r="G11" s="75">
        <f>ROUND((文档规模及工作量估计ok!H8+文档规模及工作量估计ok!T8+文档规模及工作量估计ok!H50+文档规模及工作量估计ok!T50)/4,0)</f>
        <v>35</v>
      </c>
      <c r="H11" s="66">
        <f>ROUND((文档规模及工作量估计ok!J8+文档规模及工作量估计ok!V8+文档规模及工作量估计ok!J50+文档规模及工作量估计ok!V50)/4,0)</f>
        <v>0</v>
      </c>
      <c r="I11" s="67"/>
    </row>
    <row r="12" spans="1:9" ht="15.5" customHeight="1">
      <c r="A12" s="74">
        <v>2</v>
      </c>
      <c r="B12" s="278" t="str">
        <f>'汇总表(文档相关)ok'!B9</f>
        <v>软件质量保证计划</v>
      </c>
      <c r="C12" s="278"/>
      <c r="D12" s="278"/>
      <c r="E12" s="71" t="str">
        <f>'汇总表(文档相关)ok'!F9</f>
        <v>页</v>
      </c>
      <c r="F12" s="75">
        <f>'汇总表(文档相关)ok'!M9</f>
        <v>16</v>
      </c>
      <c r="G12" s="75">
        <f>ROUND((文档规模及工作量估计ok!H9+文档规模及工作量估计ok!T9+文档规模及工作量估计ok!H51+文档规模及工作量估计ok!T51)/4,0)</f>
        <v>16</v>
      </c>
      <c r="H12" s="66">
        <f>ROUND((文档规模及工作量估计ok!J9+文档规模及工作量估计ok!V9+文档规模及工作量估计ok!J51+文档规模及工作量估计ok!V51)/4,0)</f>
        <v>0</v>
      </c>
      <c r="I12" s="67"/>
    </row>
    <row r="13" spans="1:9" ht="15.5" customHeight="1">
      <c r="A13" s="74">
        <v>3</v>
      </c>
      <c r="B13" s="278" t="str">
        <f>'汇总表(文档相关)ok'!B10</f>
        <v>软件配置管理计划</v>
      </c>
      <c r="C13" s="278"/>
      <c r="D13" s="278"/>
      <c r="E13" s="71" t="str">
        <f>'汇总表(文档相关)ok'!F10</f>
        <v>页</v>
      </c>
      <c r="F13" s="75">
        <f>'汇总表(文档相关)ok'!M10</f>
        <v>14</v>
      </c>
      <c r="G13" s="75">
        <f>ROUND((文档规模及工作量估计ok!H10+文档规模及工作量估计ok!T10+文档规模及工作量估计ok!H52+文档规模及工作量估计ok!T52)/4,0)</f>
        <v>14</v>
      </c>
      <c r="H13" s="66">
        <f>ROUND((文档规模及工作量估计ok!J10+文档规模及工作量估计ok!V10+文档规模及工作量估计ok!J52+文档规模及工作量估计ok!V52)/4,0)</f>
        <v>0</v>
      </c>
      <c r="I13" s="67"/>
    </row>
    <row r="14" spans="1:9" ht="15.5" customHeight="1">
      <c r="A14" s="74">
        <v>4</v>
      </c>
      <c r="B14" s="278" t="str">
        <f>'汇总表(文档相关)ok'!B11</f>
        <v>测量与分析计划</v>
      </c>
      <c r="C14" s="278"/>
      <c r="D14" s="278"/>
      <c r="E14" s="71" t="str">
        <f>'汇总表(文档相关)ok'!F11</f>
        <v>页</v>
      </c>
      <c r="F14" s="75">
        <f>'汇总表(文档相关)ok'!M11</f>
        <v>11</v>
      </c>
      <c r="G14" s="75">
        <f>ROUND((文档规模及工作量估计ok!H11+文档规模及工作量估计ok!T11+文档规模及工作量估计ok!H53+文档规模及工作量估计ok!T53)/4,0)</f>
        <v>11</v>
      </c>
      <c r="H14" s="66">
        <f>ROUND((文档规模及工作量估计ok!J11+文档规模及工作量估计ok!V11+文档规模及工作量估计ok!J53+文档规模及工作量估计ok!V53)/4,0)</f>
        <v>0</v>
      </c>
      <c r="I14" s="67"/>
    </row>
    <row r="15" spans="1:9" ht="15.5" customHeight="1">
      <c r="A15" s="74">
        <v>5</v>
      </c>
      <c r="B15" s="278" t="str">
        <f>'汇总表(文档相关)ok'!B12</f>
        <v>需求规格说明</v>
      </c>
      <c r="C15" s="278"/>
      <c r="D15" s="278"/>
      <c r="E15" s="71" t="str">
        <f>'汇总表(文档相关)ok'!F12</f>
        <v>页</v>
      </c>
      <c r="F15" s="75">
        <f>'汇总表(文档相关)ok'!M12</f>
        <v>55</v>
      </c>
      <c r="G15" s="75">
        <f>ROUND((文档规模及工作量估计ok!H12+文档规模及工作量估计ok!T12+文档规模及工作量估计ok!H54+文档规模及工作量估计ok!T54)/4,0)</f>
        <v>55</v>
      </c>
      <c r="H15" s="66">
        <f>ROUND((文档规模及工作量估计ok!J12+文档规模及工作量估计ok!V12+文档规模及工作量估计ok!J54+文档规模及工作量估计ok!V54)/4,0)</f>
        <v>0</v>
      </c>
      <c r="I15" s="67"/>
    </row>
    <row r="16" spans="1:9" ht="15" customHeight="1">
      <c r="A16" s="74">
        <v>6</v>
      </c>
      <c r="B16" s="278" t="str">
        <f>'汇总表(文档相关)ok'!B13</f>
        <v>配置项测试计划</v>
      </c>
      <c r="C16" s="278"/>
      <c r="D16" s="278"/>
      <c r="E16" s="71" t="str">
        <f>'汇总表(文档相关)ok'!F13</f>
        <v>页</v>
      </c>
      <c r="F16" s="75">
        <f>'汇总表(文档相关)ok'!M13</f>
        <v>18</v>
      </c>
      <c r="G16" s="75">
        <f>ROUND((文档规模及工作量估计ok!H13+文档规模及工作量估计ok!T13+文档规模及工作量估计ok!H55+文档规模及工作量估计ok!T55)/4,0)</f>
        <v>18</v>
      </c>
      <c r="H16" s="66">
        <f>ROUND((文档规模及工作量估计ok!J14+文档规模及工作量估计ok!V14+文档规模及工作量估计ok!J56+文档规模及工作量估计ok!V56)/4,0)</f>
        <v>0</v>
      </c>
      <c r="I16" s="67"/>
    </row>
    <row r="17" spans="1:9" ht="15" customHeight="1">
      <c r="A17" s="74">
        <v>7</v>
      </c>
      <c r="B17" s="278" t="str">
        <f>'汇总表(文档相关)ok'!B14</f>
        <v>软件设计说明</v>
      </c>
      <c r="C17" s="278"/>
      <c r="D17" s="278"/>
      <c r="E17" s="71" t="str">
        <f>'汇总表(文档相关)ok'!F14</f>
        <v>页</v>
      </c>
      <c r="F17" s="75">
        <f>'汇总表(文档相关)ok'!M14</f>
        <v>90</v>
      </c>
      <c r="G17" s="75">
        <f>ROUND((文档规模及工作量估计ok!H14+文档规模及工作量估计ok!T14+文档规模及工作量估计ok!H56+文档规模及工作量估计ok!T56)/4,0)</f>
        <v>90</v>
      </c>
      <c r="H17" s="66">
        <f>ROUND((文档规模及工作量估计ok!J15+文档规模及工作量估计ok!V15+文档规模及工作量估计ok!J57+文档规模及工作量估计ok!V57)/4,0)</f>
        <v>0</v>
      </c>
      <c r="I17" s="67"/>
    </row>
    <row r="18" spans="1:9" ht="14.5" customHeight="1">
      <c r="A18" s="74">
        <v>8</v>
      </c>
      <c r="B18" s="278" t="str">
        <f>'汇总表(文档相关)ok'!B15</f>
        <v>单元测试计划</v>
      </c>
      <c r="C18" s="278"/>
      <c r="D18" s="278"/>
      <c r="E18" s="71" t="str">
        <f>'汇总表(文档相关)ok'!F15</f>
        <v>页</v>
      </c>
      <c r="F18" s="75">
        <f>'汇总表(文档相关)ok'!M15</f>
        <v>0</v>
      </c>
      <c r="G18" s="75">
        <f>ROUND((文档规模及工作量估计ok!H15+文档规模及工作量估计ok!T15+文档规模及工作量估计ok!H57+文档规模及工作量估计ok!T57)/4,0)</f>
        <v>0</v>
      </c>
      <c r="H18" s="66">
        <f>ROUND((文档规模及工作量估计ok!J16+文档规模及工作量估计ok!V16+文档规模及工作量估计ok!J58+文档规模及工作量估计ok!V58)/4,0)</f>
        <v>0</v>
      </c>
      <c r="I18" s="67"/>
    </row>
    <row r="19" spans="1:9" ht="14.5" customHeight="1">
      <c r="A19" s="74">
        <v>13</v>
      </c>
      <c r="B19" s="278" t="str">
        <f>'汇总表(文档相关)ok'!B16</f>
        <v>单元测试报告</v>
      </c>
      <c r="C19" s="278"/>
      <c r="D19" s="278"/>
      <c r="E19" s="71" t="str">
        <f>'汇总表(文档相关)ok'!F16</f>
        <v>页</v>
      </c>
      <c r="F19" s="75">
        <f>'汇总表(文档相关)ok'!M16</f>
        <v>0</v>
      </c>
      <c r="G19" s="75">
        <f>ROUND((文档规模及工作量估计ok!H16+文档规模及工作量估计ok!T16+文档规模及工作量估计ok!H58+文档规模及工作量估计ok!T58)/4,0)</f>
        <v>0</v>
      </c>
      <c r="H19" s="75"/>
      <c r="I19" s="67"/>
    </row>
    <row r="20" spans="1:9" ht="14.5" customHeight="1">
      <c r="A20" s="74">
        <v>15</v>
      </c>
      <c r="B20" s="278" t="str">
        <f>'汇总表(文档相关)ok'!B17</f>
        <v>配置项测试说明</v>
      </c>
      <c r="C20" s="278"/>
      <c r="D20" s="278"/>
      <c r="E20" s="71" t="str">
        <f>'汇总表(文档相关)ok'!F17</f>
        <v>页</v>
      </c>
      <c r="F20" s="75">
        <f>'汇总表(文档相关)ok'!M17</f>
        <v>43</v>
      </c>
      <c r="G20" s="75">
        <f>ROUND((文档规模及工作量估计ok!H17+文档规模及工作量估计ok!T17+文档规模及工作量估计ok!H59+文档规模及工作量估计ok!T59)/4,0)</f>
        <v>43</v>
      </c>
      <c r="H20" s="75"/>
      <c r="I20" s="67"/>
    </row>
    <row r="21" spans="1:9" ht="14.5" customHeight="1">
      <c r="A21" s="74">
        <v>16</v>
      </c>
      <c r="B21" s="278" t="str">
        <f>'汇总表(文档相关)ok'!B18</f>
        <v>配置项测试报告</v>
      </c>
      <c r="C21" s="278"/>
      <c r="D21" s="278"/>
      <c r="E21" s="71" t="str">
        <f>'汇总表(文档相关)ok'!F18</f>
        <v>页</v>
      </c>
      <c r="F21" s="75">
        <f>'汇总表(文档相关)ok'!M18</f>
        <v>73</v>
      </c>
      <c r="G21" s="75">
        <f>ROUND((文档规模及工作量估计ok!H18+文档规模及工作量估计ok!T18+文档规模及工作量估计ok!H60+文档规模及工作量估计ok!T60)/4,0)</f>
        <v>73</v>
      </c>
      <c r="H21" s="75"/>
      <c r="I21" s="67"/>
    </row>
    <row r="22" spans="1:9" ht="14.5" customHeight="1">
      <c r="A22" s="74">
        <v>17</v>
      </c>
      <c r="B22" s="278" t="str">
        <f>'汇总表(文档相关)ok'!B19</f>
        <v>用户手册</v>
      </c>
      <c r="C22" s="278"/>
      <c r="D22" s="278"/>
      <c r="E22" s="71" t="str">
        <f>'汇总表(文档相关)ok'!F19</f>
        <v>页</v>
      </c>
      <c r="F22" s="75">
        <f>'汇总表(文档相关)ok'!M19</f>
        <v>30</v>
      </c>
      <c r="G22" s="75">
        <f>ROUND((文档规模及工作量估计ok!H19+文档规模及工作量估计ok!T19+文档规模及工作量估计ok!H61+文档规模及工作量估计ok!T61)/4,0)</f>
        <v>30</v>
      </c>
      <c r="H22" s="75"/>
      <c r="I22" s="67"/>
    </row>
    <row r="23" spans="1:9" ht="14.5" customHeight="1">
      <c r="A23" s="74">
        <v>20</v>
      </c>
      <c r="B23" s="278" t="str">
        <f>'汇总表(文档相关)ok'!B20</f>
        <v>研制总结报告</v>
      </c>
      <c r="C23" s="278"/>
      <c r="D23" s="278"/>
      <c r="E23" s="71" t="str">
        <f>'汇总表(文档相关)ok'!F20</f>
        <v>页</v>
      </c>
      <c r="F23" s="75">
        <f>'汇总表(文档相关)ok'!M20</f>
        <v>0</v>
      </c>
      <c r="G23" s="75">
        <f>ROUND((文档规模及工作量估计ok!H20+文档规模及工作量估计ok!T20+文档规模及工作量估计ok!H62+文档规模及工作量估计ok!T62)/4,0)</f>
        <v>0</v>
      </c>
      <c r="H23" s="75"/>
      <c r="I23" s="67"/>
    </row>
    <row r="24" spans="1:9" ht="14.5" customHeight="1">
      <c r="A24" s="74"/>
      <c r="B24" s="71"/>
      <c r="C24" s="71"/>
      <c r="D24" s="71"/>
      <c r="E24" s="71"/>
      <c r="F24" s="75"/>
      <c r="G24" s="75"/>
      <c r="H24" s="75"/>
      <c r="I24" s="67"/>
    </row>
    <row r="25" spans="1:9" ht="14.5" customHeight="1">
      <c r="A25" s="74">
        <v>21</v>
      </c>
      <c r="B25" s="283">
        <f>'汇总表(代码相关)'!C8</f>
        <v>1</v>
      </c>
      <c r="C25" s="284"/>
      <c r="D25" s="285"/>
      <c r="E25" s="71" t="s">
        <v>213</v>
      </c>
      <c r="F25" s="75">
        <f>'汇总表(代码相关)'!O8</f>
        <v>1950</v>
      </c>
      <c r="G25" s="75">
        <f>ROUND((代码规模及工作量估计!H32+代码规模及工作量估计!T32+代码规模及工作量估计!H8+代码规模及工作量估计!T8)/4,0)</f>
        <v>1950</v>
      </c>
      <c r="H25" s="75">
        <f>F25-G25</f>
        <v>0</v>
      </c>
      <c r="I25" s="67"/>
    </row>
    <row r="26" spans="1:9" ht="14.5" customHeight="1">
      <c r="A26" s="74">
        <v>22</v>
      </c>
      <c r="B26" s="283">
        <f>'汇总表(代码相关)'!C9</f>
        <v>2</v>
      </c>
      <c r="C26" s="284"/>
      <c r="D26" s="285"/>
      <c r="E26" s="71" t="s">
        <v>214</v>
      </c>
      <c r="F26" s="75">
        <f>'汇总表(代码相关)'!O9</f>
        <v>8500</v>
      </c>
      <c r="G26" s="75">
        <f>ROUND((代码规模及工作量估计!H33+代码规模及工作量估计!T33+代码规模及工作量估计!H9+代码规模及工作量估计!T9)/4,0)</f>
        <v>8500</v>
      </c>
      <c r="H26" s="75">
        <f t="shared" ref="H26:H28" si="0">F26-G26</f>
        <v>0</v>
      </c>
      <c r="I26" s="67"/>
    </row>
    <row r="27" spans="1:9" ht="14.5" customHeight="1">
      <c r="A27" s="74">
        <v>22</v>
      </c>
      <c r="B27" s="283">
        <f>'汇总表(代码相关)'!C10</f>
        <v>3</v>
      </c>
      <c r="C27" s="284"/>
      <c r="D27" s="285"/>
      <c r="E27" s="71" t="s">
        <v>214</v>
      </c>
      <c r="F27" s="75">
        <f>'汇总表(代码相关)'!O10</f>
        <v>13500</v>
      </c>
      <c r="G27" s="75">
        <f>ROUND((代码规模及工作量估计!H34+代码规模及工作量估计!T34+代码规模及工作量估计!H10+代码规模及工作量估计!T10)/4,0)</f>
        <v>13500</v>
      </c>
      <c r="H27" s="75">
        <f t="shared" si="0"/>
        <v>0</v>
      </c>
      <c r="I27" s="67"/>
    </row>
    <row r="28" spans="1:9" ht="14.5" customHeight="1">
      <c r="A28" s="74">
        <v>23</v>
      </c>
      <c r="B28" s="283">
        <f>'汇总表(代码相关)'!C11</f>
        <v>4</v>
      </c>
      <c r="C28" s="284"/>
      <c r="D28" s="285"/>
      <c r="E28" s="71" t="s">
        <v>215</v>
      </c>
      <c r="F28" s="75">
        <f>'汇总表(代码相关)'!O11</f>
        <v>3825</v>
      </c>
      <c r="G28" s="75">
        <f>ROUND((代码规模及工作量估计!H35+代码规模及工作量估计!T35+代码规模及工作量估计!H11+代码规模及工作量估计!T11)/4,0)</f>
        <v>3825</v>
      </c>
      <c r="H28" s="75">
        <f t="shared" si="0"/>
        <v>0</v>
      </c>
      <c r="I28" s="67"/>
    </row>
    <row r="29" spans="1:9">
      <c r="A29" s="279" t="s">
        <v>59</v>
      </c>
      <c r="B29" s="280"/>
      <c r="C29" s="280"/>
      <c r="D29" s="280"/>
      <c r="E29" s="280"/>
      <c r="F29" s="280"/>
      <c r="G29" s="280"/>
      <c r="H29" s="280"/>
      <c r="I29" s="281"/>
    </row>
    <row r="30" spans="1:9" ht="15">
      <c r="A30" s="282" t="s">
        <v>61</v>
      </c>
      <c r="B30" s="108"/>
      <c r="C30" s="108"/>
      <c r="D30" s="125"/>
      <c r="E30" s="71" t="s">
        <v>62</v>
      </c>
      <c r="F30" s="75">
        <f>SUM(F11:F23)</f>
        <v>385</v>
      </c>
      <c r="G30" s="75">
        <f>SUM(G11:G23)</f>
        <v>385</v>
      </c>
      <c r="H30" s="66">
        <f>SUM(H11:H23)</f>
        <v>0</v>
      </c>
      <c r="I30" s="67"/>
    </row>
    <row r="31" spans="1:9" ht="15">
      <c r="A31" s="282" t="s">
        <v>60</v>
      </c>
      <c r="B31" s="108"/>
      <c r="C31" s="108"/>
      <c r="D31" s="125"/>
      <c r="E31" s="68" t="s">
        <v>63</v>
      </c>
      <c r="F31" s="66">
        <f>SUM(F25:F28)</f>
        <v>27775</v>
      </c>
      <c r="G31" s="66">
        <f>SUM(G25:G28)</f>
        <v>27775</v>
      </c>
      <c r="H31" s="66">
        <f>SUM(H25:H28)</f>
        <v>0</v>
      </c>
      <c r="I31" s="67"/>
    </row>
    <row r="32" spans="1:9">
      <c r="A32" s="272" t="s">
        <v>52</v>
      </c>
      <c r="B32" s="273"/>
      <c r="C32" s="273"/>
      <c r="D32" s="273"/>
      <c r="E32" s="273"/>
      <c r="F32" s="273"/>
      <c r="G32" s="273"/>
      <c r="H32" s="273"/>
      <c r="I32" s="274"/>
    </row>
    <row r="33" spans="1:9">
      <c r="A33" s="272"/>
      <c r="B33" s="273"/>
      <c r="C33" s="273"/>
      <c r="D33" s="273"/>
      <c r="E33" s="273"/>
      <c r="F33" s="273"/>
      <c r="G33" s="273"/>
      <c r="H33" s="273"/>
      <c r="I33" s="274"/>
    </row>
    <row r="34" spans="1:9">
      <c r="A34" s="272"/>
      <c r="B34" s="273"/>
      <c r="C34" s="273"/>
      <c r="D34" s="273"/>
      <c r="E34" s="273"/>
      <c r="F34" s="273"/>
      <c r="G34" s="273"/>
      <c r="H34" s="273"/>
      <c r="I34" s="274"/>
    </row>
    <row r="35" spans="1:9">
      <c r="A35" s="272"/>
      <c r="B35" s="273"/>
      <c r="C35" s="273"/>
      <c r="D35" s="273"/>
      <c r="E35" s="273"/>
      <c r="F35" s="273"/>
      <c r="G35" s="273"/>
      <c r="H35" s="273"/>
      <c r="I35" s="274"/>
    </row>
    <row r="36" spans="1:9" ht="35" customHeight="1" thickBot="1">
      <c r="A36" s="275"/>
      <c r="B36" s="276"/>
      <c r="C36" s="276"/>
      <c r="D36" s="276"/>
      <c r="E36" s="276"/>
      <c r="F36" s="276"/>
      <c r="G36" s="276"/>
      <c r="H36" s="276"/>
      <c r="I36" s="277"/>
    </row>
    <row r="37" spans="1:9" ht="15" thickTop="1"/>
  </sheetData>
  <mergeCells count="44">
    <mergeCell ref="B26:D26"/>
    <mergeCell ref="B16:D16"/>
    <mergeCell ref="A9:A10"/>
    <mergeCell ref="B9:D10"/>
    <mergeCell ref="B22:D22"/>
    <mergeCell ref="B20:D20"/>
    <mergeCell ref="B21:D21"/>
    <mergeCell ref="B19:D19"/>
    <mergeCell ref="B12:D12"/>
    <mergeCell ref="B13:D13"/>
    <mergeCell ref="B14:D14"/>
    <mergeCell ref="B15:D15"/>
    <mergeCell ref="A1:B1"/>
    <mergeCell ref="A4:B4"/>
    <mergeCell ref="C4:I4"/>
    <mergeCell ref="A5:I5"/>
    <mergeCell ref="A7:B7"/>
    <mergeCell ref="C7:I7"/>
    <mergeCell ref="G6:I6"/>
    <mergeCell ref="E6:F6"/>
    <mergeCell ref="C6:D6"/>
    <mergeCell ref="A6:B6"/>
    <mergeCell ref="H1:I1"/>
    <mergeCell ref="A3:B3"/>
    <mergeCell ref="C3:D3"/>
    <mergeCell ref="E3:F3"/>
    <mergeCell ref="C1:F1"/>
    <mergeCell ref="G3:I3"/>
    <mergeCell ref="A2:I2"/>
    <mergeCell ref="A32:I36"/>
    <mergeCell ref="B17:D17"/>
    <mergeCell ref="A29:I29"/>
    <mergeCell ref="A30:D30"/>
    <mergeCell ref="A31:D31"/>
    <mergeCell ref="B18:D18"/>
    <mergeCell ref="B28:D28"/>
    <mergeCell ref="B25:D25"/>
    <mergeCell ref="B27:D27"/>
    <mergeCell ref="B23:D23"/>
    <mergeCell ref="E9:E10"/>
    <mergeCell ref="A8:I8"/>
    <mergeCell ref="F9:H9"/>
    <mergeCell ref="I9:I10"/>
    <mergeCell ref="B11:D11"/>
  </mergeCells>
  <phoneticPr fontId="2" type="noConversion"/>
  <pageMargins left="0.7" right="0.7" top="0.75" bottom="0.75" header="0.3" footer="0.3"/>
  <pageSetup paperSize="9" orientation="portrait" r:id="rId1"/>
  <headerFooter>
    <oddHeader>&amp;C&amp;16规模估计结果报告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view="pageLayout" topLeftCell="A19" zoomScaleNormal="100" workbookViewId="0">
      <selection activeCell="B32" sqref="B32:D32"/>
    </sheetView>
  </sheetViews>
  <sheetFormatPr baseColWidth="10" defaultColWidth="8.83203125" defaultRowHeight="14"/>
  <cols>
    <col min="1" max="1" width="10.5" customWidth="1"/>
    <col min="2" max="2" width="10.33203125" customWidth="1"/>
    <col min="4" max="4" width="12.33203125" customWidth="1"/>
    <col min="5" max="5" width="6.1640625" customWidth="1"/>
    <col min="6" max="6" width="4" customWidth="1"/>
    <col min="7" max="7" width="27.5" customWidth="1"/>
    <col min="8" max="8" width="7.6640625" customWidth="1"/>
  </cols>
  <sheetData>
    <row r="1" spans="1:8" ht="27.5" customHeight="1" thickTop="1">
      <c r="A1" s="76" t="s">
        <v>0</v>
      </c>
      <c r="B1" s="142" t="s">
        <v>262</v>
      </c>
      <c r="C1" s="143"/>
      <c r="D1" s="143"/>
      <c r="E1" s="142" t="s">
        <v>1</v>
      </c>
      <c r="F1" s="142"/>
      <c r="G1" s="143" t="s">
        <v>189</v>
      </c>
      <c r="H1" s="190"/>
    </row>
    <row r="2" spans="1:8" ht="91.25" customHeight="1">
      <c r="A2" s="176" t="s">
        <v>6</v>
      </c>
      <c r="B2" s="178"/>
      <c r="C2" s="100" t="str">
        <f>'汇总表(文档相关)ok'!E5</f>
        <v>文档编写工作量和合格性测试工作量基于：
1）文档编写人员均有同类文档的编写经验，掌握438C军用软件文档编写要求；
2）参考文档估计规模；
3）参考XXXXXX项目；
4）专家法估计偏差阈值按20%考虑。</v>
      </c>
      <c r="D2" s="100"/>
      <c r="E2" s="100"/>
      <c r="F2" s="100"/>
      <c r="G2" s="100"/>
      <c r="H2" s="127"/>
    </row>
    <row r="3" spans="1:8" ht="88.25" customHeight="1">
      <c r="A3" s="302"/>
      <c r="B3" s="303"/>
      <c r="C3" s="100" t="str">
        <f>'汇总表(代码相关)'!E5</f>
        <v>编码、单元测试及软件BUG修改的工作量估计基于：
1）编码人员均有仿真类和评估类项目的开发经验，且熟悉B/S架构的开发模式；
2）参考XXXXXX和XXXXXX中期评估项目的开发经验和规模经验；
3）参考代码估计规模；
4）专家法估计偏差阈值按20%考虑。</v>
      </c>
      <c r="D3" s="100"/>
      <c r="E3" s="100"/>
      <c r="F3" s="100"/>
      <c r="G3" s="100"/>
      <c r="H3" s="127"/>
    </row>
    <row r="4" spans="1:8" ht="50" customHeight="1">
      <c r="A4" s="302"/>
      <c r="B4" s="303"/>
      <c r="C4" s="100" t="str">
        <f>配置管理工作量估计ok!B3</f>
        <v>配置管理活动工作量的估计，基于公司提供的单次活动工时经验数据、项目周期内预计开展的活动次数及配置活动内容计算所得。公司提供的单次活动工时经验值见《软件估计指南》</v>
      </c>
      <c r="D4" s="100"/>
      <c r="E4" s="100"/>
      <c r="F4" s="100"/>
      <c r="G4" s="100"/>
      <c r="H4" s="127"/>
    </row>
    <row r="5" spans="1:8" ht="48" customHeight="1">
      <c r="A5" s="302"/>
      <c r="B5" s="303"/>
      <c r="C5" s="100" t="str">
        <f>质量保证工作量估计ok!C3</f>
        <v>质量保证活动工作量的估计，基于公司提供的单次活动工时经验数据、项目周期内预计开展的质量活动次数计算所得。公司提供的单次活动工时经验值见《软件估计指南》。</v>
      </c>
      <c r="D5" s="100"/>
      <c r="E5" s="100"/>
      <c r="F5" s="100"/>
      <c r="G5" s="100"/>
      <c r="H5" s="127"/>
    </row>
    <row r="6" spans="1:8" ht="52.25" customHeight="1">
      <c r="A6" s="302"/>
      <c r="B6" s="303"/>
      <c r="C6" s="100" t="str">
        <f>其他管理类工作量估计ok!B3</f>
        <v>工作例会、测量等管理类活动工作量的估计，基于公司提供的单次活动工时经验数据、项目周期内预计开展的活动次数及预计参与人数计算所得。公司提供的单次活动工时经验值见《软件估计指南》。</v>
      </c>
      <c r="D6" s="100"/>
      <c r="E6" s="100"/>
      <c r="F6" s="100"/>
      <c r="G6" s="100"/>
      <c r="H6" s="127"/>
    </row>
    <row r="7" spans="1:8" ht="50" customHeight="1">
      <c r="A7" s="179"/>
      <c r="B7" s="181"/>
      <c r="C7" s="100" t="str">
        <f>评审工作量!C3</f>
        <v>评审活动工作量的估计，基于公司提供的单次活动工时经验数据、评审对象内容、参与评审人数计算所得。公司提供的单次活动工时经验值见《软件估计指南》</v>
      </c>
      <c r="D7" s="100"/>
      <c r="E7" s="100"/>
      <c r="F7" s="100"/>
      <c r="G7" s="100"/>
      <c r="H7" s="127"/>
    </row>
    <row r="8" spans="1:8" ht="33" customHeight="1">
      <c r="A8" s="77" t="s">
        <v>24</v>
      </c>
      <c r="B8" s="167" t="s">
        <v>8</v>
      </c>
      <c r="C8" s="167"/>
      <c r="D8" s="167"/>
      <c r="E8" s="167" t="s">
        <v>10</v>
      </c>
      <c r="F8" s="167"/>
      <c r="G8" s="72" t="s">
        <v>55</v>
      </c>
      <c r="H8" s="78" t="s">
        <v>56</v>
      </c>
    </row>
    <row r="9" spans="1:8" ht="18" customHeight="1">
      <c r="A9" s="315" t="s">
        <v>216</v>
      </c>
      <c r="B9" s="278" t="str">
        <f>'汇总表(文档相关)ok'!B25</f>
        <v>需求规格说明编写</v>
      </c>
      <c r="C9" s="278"/>
      <c r="D9" s="278"/>
      <c r="E9" s="314">
        <f>'汇总表(文档相关)ok'!M25</f>
        <v>48</v>
      </c>
      <c r="F9" s="314"/>
      <c r="G9" s="66" t="str">
        <f>'汇总表(文档相关)ok'!$B$2</f>
        <v>穆笑岩高蕾 张晓丰方小娟</v>
      </c>
      <c r="H9" s="79" t="s">
        <v>136</v>
      </c>
    </row>
    <row r="10" spans="1:8" ht="16.25" customHeight="1">
      <c r="A10" s="315"/>
      <c r="B10" s="278" t="str">
        <f>'汇总表(文档相关)ok'!B26</f>
        <v>配置项测试计划</v>
      </c>
      <c r="C10" s="278"/>
      <c r="D10" s="278"/>
      <c r="E10" s="314">
        <f>'汇总表(文档相关)ok'!M26</f>
        <v>6</v>
      </c>
      <c r="F10" s="314"/>
      <c r="G10" s="66" t="str">
        <f>'汇总表(文档相关)ok'!$B$2</f>
        <v>穆笑岩高蕾 张晓丰方小娟</v>
      </c>
      <c r="H10" s="79" t="s">
        <v>136</v>
      </c>
    </row>
    <row r="11" spans="1:8" ht="15.5" customHeight="1">
      <c r="A11" s="315"/>
      <c r="B11" s="278" t="str">
        <f>'汇总表(文档相关)ok'!B27</f>
        <v>软件设计说明编写</v>
      </c>
      <c r="C11" s="278"/>
      <c r="D11" s="278"/>
      <c r="E11" s="314">
        <f>'汇总表(文档相关)ok'!M27</f>
        <v>96</v>
      </c>
      <c r="F11" s="314"/>
      <c r="G11" s="66" t="str">
        <f>'汇总表(文档相关)ok'!$B$2</f>
        <v>穆笑岩高蕾 张晓丰方小娟</v>
      </c>
      <c r="H11" s="79" t="s">
        <v>136</v>
      </c>
    </row>
    <row r="12" spans="1:8" ht="15.5" customHeight="1">
      <c r="A12" s="315"/>
      <c r="B12" s="278" t="str">
        <f>'汇总表(文档相关)ok'!B28</f>
        <v>单元测试计划编写</v>
      </c>
      <c r="C12" s="278"/>
      <c r="D12" s="278"/>
      <c r="E12" s="314">
        <f>'汇总表(文档相关)ok'!M28</f>
        <v>6</v>
      </c>
      <c r="F12" s="314"/>
      <c r="G12" s="66" t="str">
        <f>'汇总表(文档相关)ok'!$B$2</f>
        <v>穆笑岩高蕾 张晓丰方小娟</v>
      </c>
      <c r="H12" s="79" t="s">
        <v>136</v>
      </c>
    </row>
    <row r="13" spans="1:8" ht="15.5" customHeight="1">
      <c r="A13" s="315"/>
      <c r="B13" s="278" t="e">
        <f>'汇总表(文档相关)ok'!#REF!</f>
        <v>#REF!</v>
      </c>
      <c r="C13" s="278"/>
      <c r="D13" s="278"/>
      <c r="E13" s="314" t="e">
        <f>'汇总表(文档相关)ok'!#REF!</f>
        <v>#REF!</v>
      </c>
      <c r="F13" s="314"/>
      <c r="G13" s="66" t="str">
        <f>'汇总表(文档相关)ok'!$B$2</f>
        <v>穆笑岩高蕾 张晓丰方小娟</v>
      </c>
      <c r="H13" s="79" t="s">
        <v>136</v>
      </c>
    </row>
    <row r="14" spans="1:8" ht="15.5" customHeight="1">
      <c r="A14" s="315"/>
      <c r="B14" s="278" t="e">
        <f>'汇总表(文档相关)ok'!#REF!</f>
        <v>#REF!</v>
      </c>
      <c r="C14" s="278"/>
      <c r="D14" s="278"/>
      <c r="E14" s="314" t="e">
        <f>'汇总表(文档相关)ok'!#REF!</f>
        <v>#REF!</v>
      </c>
      <c r="F14" s="314"/>
      <c r="G14" s="66" t="str">
        <f>'汇总表(文档相关)ok'!$B$2</f>
        <v>穆笑岩高蕾 张晓丰方小娟</v>
      </c>
      <c r="H14" s="79" t="s">
        <v>136</v>
      </c>
    </row>
    <row r="15" spans="1:8" ht="15.5" customHeight="1">
      <c r="A15" s="315"/>
      <c r="B15" s="278" t="e">
        <f>'汇总表(文档相关)ok'!#REF!</f>
        <v>#REF!</v>
      </c>
      <c r="C15" s="278"/>
      <c r="D15" s="278"/>
      <c r="E15" s="314" t="e">
        <f>'汇总表(文档相关)ok'!#REF!</f>
        <v>#REF!</v>
      </c>
      <c r="F15" s="314"/>
      <c r="G15" s="66" t="str">
        <f>'汇总表(文档相关)ok'!$B$2</f>
        <v>穆笑岩高蕾 张晓丰方小娟</v>
      </c>
      <c r="H15" s="79" t="s">
        <v>136</v>
      </c>
    </row>
    <row r="16" spans="1:8" ht="15.5" customHeight="1">
      <c r="A16" s="315"/>
      <c r="B16" s="278" t="e">
        <f>'汇总表(文档相关)ok'!#REF!</f>
        <v>#REF!</v>
      </c>
      <c r="C16" s="278"/>
      <c r="D16" s="278"/>
      <c r="E16" s="314" t="e">
        <f>'汇总表(文档相关)ok'!#REF!</f>
        <v>#REF!</v>
      </c>
      <c r="F16" s="314"/>
      <c r="G16" s="66" t="str">
        <f>'汇总表(文档相关)ok'!$B$2</f>
        <v>穆笑岩高蕾 张晓丰方小娟</v>
      </c>
      <c r="H16" s="79" t="s">
        <v>136</v>
      </c>
    </row>
    <row r="17" spans="1:8" ht="15">
      <c r="A17" s="315"/>
      <c r="B17" s="278" t="str">
        <f>'汇总表(文档相关)ok'!B29</f>
        <v>单元测试报告编写</v>
      </c>
      <c r="C17" s="278"/>
      <c r="D17" s="278"/>
      <c r="E17" s="314">
        <f>'汇总表(文档相关)ok'!M29</f>
        <v>6</v>
      </c>
      <c r="F17" s="314"/>
      <c r="G17" s="66" t="str">
        <f>'汇总表(文档相关)ok'!$B$2</f>
        <v>穆笑岩高蕾 张晓丰方小娟</v>
      </c>
      <c r="H17" s="79" t="s">
        <v>136</v>
      </c>
    </row>
    <row r="18" spans="1:8" ht="15">
      <c r="A18" s="315"/>
      <c r="B18" s="278" t="e">
        <f>'汇总表(文档相关)ok'!#REF!</f>
        <v>#REF!</v>
      </c>
      <c r="C18" s="278"/>
      <c r="D18" s="278"/>
      <c r="E18" s="314" t="e">
        <f>'汇总表(文档相关)ok'!#REF!</f>
        <v>#REF!</v>
      </c>
      <c r="F18" s="314"/>
      <c r="G18" s="66" t="str">
        <f>'汇总表(文档相关)ok'!$B$2</f>
        <v>穆笑岩高蕾 张晓丰方小娟</v>
      </c>
      <c r="H18" s="79" t="s">
        <v>136</v>
      </c>
    </row>
    <row r="19" spans="1:8" ht="14.5" customHeight="1">
      <c r="A19" s="315"/>
      <c r="B19" s="278" t="str">
        <f>'汇总表(文档相关)ok'!B30</f>
        <v>配置项测试说明编写</v>
      </c>
      <c r="C19" s="278"/>
      <c r="D19" s="278"/>
      <c r="E19" s="314">
        <f>'汇总表(文档相关)ok'!M30</f>
        <v>40</v>
      </c>
      <c r="F19" s="314"/>
      <c r="G19" s="66" t="str">
        <f>'汇总表(文档相关)ok'!$B$2</f>
        <v>穆笑岩高蕾 张晓丰方小娟</v>
      </c>
      <c r="H19" s="79" t="s">
        <v>136</v>
      </c>
    </row>
    <row r="20" spans="1:8" ht="17" customHeight="1">
      <c r="A20" s="315"/>
      <c r="B20" s="278" t="str">
        <f>'汇总表(文档相关)ok'!B31</f>
        <v>配置项测试报告编写</v>
      </c>
      <c r="C20" s="278"/>
      <c r="D20" s="278"/>
      <c r="E20" s="314">
        <f>'汇总表(文档相关)ok'!M31</f>
        <v>8</v>
      </c>
      <c r="F20" s="314"/>
      <c r="G20" s="66" t="str">
        <f>'汇总表(文档相关)ok'!$B$2</f>
        <v>穆笑岩高蕾 张晓丰方小娟</v>
      </c>
      <c r="H20" s="79" t="s">
        <v>136</v>
      </c>
    </row>
    <row r="21" spans="1:8" ht="15">
      <c r="A21" s="315"/>
      <c r="B21" s="278" t="str">
        <f>'汇总表(文档相关)ok'!B32</f>
        <v>用户手册编写</v>
      </c>
      <c r="C21" s="278"/>
      <c r="D21" s="278"/>
      <c r="E21" s="314">
        <f>'汇总表(文档相关)ok'!M32</f>
        <v>20</v>
      </c>
      <c r="F21" s="314"/>
      <c r="G21" s="66" t="str">
        <f>'汇总表(文档相关)ok'!$B$2</f>
        <v>穆笑岩高蕾 张晓丰方小娟</v>
      </c>
      <c r="H21" s="79" t="s">
        <v>136</v>
      </c>
    </row>
    <row r="22" spans="1:8" ht="15">
      <c r="A22" s="315"/>
      <c r="B22" s="278" t="e">
        <f>'汇总表(文档相关)ok'!#REF!</f>
        <v>#REF!</v>
      </c>
      <c r="C22" s="278"/>
      <c r="D22" s="278"/>
      <c r="E22" s="314" t="e">
        <f>'汇总表(文档相关)ok'!#REF!</f>
        <v>#REF!</v>
      </c>
      <c r="F22" s="314"/>
      <c r="G22" s="66" t="str">
        <f>'汇总表(文档相关)ok'!$B$2</f>
        <v>穆笑岩高蕾 张晓丰方小娟</v>
      </c>
      <c r="H22" s="79" t="s">
        <v>136</v>
      </c>
    </row>
    <row r="23" spans="1:8" ht="14.5" customHeight="1">
      <c r="A23" s="315"/>
      <c r="B23" s="278" t="e">
        <f>'汇总表(文档相关)ok'!#REF!</f>
        <v>#REF!</v>
      </c>
      <c r="C23" s="278"/>
      <c r="D23" s="278"/>
      <c r="E23" s="314" t="e">
        <f>'汇总表(文档相关)ok'!#REF!</f>
        <v>#REF!</v>
      </c>
      <c r="F23" s="314"/>
      <c r="G23" s="66" t="str">
        <f>'汇总表(文档相关)ok'!$B$2</f>
        <v>穆笑岩高蕾 张晓丰方小娟</v>
      </c>
      <c r="H23" s="79" t="s">
        <v>136</v>
      </c>
    </row>
    <row r="24" spans="1:8" ht="17" customHeight="1">
      <c r="A24" s="315"/>
      <c r="B24" s="278" t="str">
        <f>'汇总表(文档相关)ok'!B33</f>
        <v>研制总结报告编写</v>
      </c>
      <c r="C24" s="278"/>
      <c r="D24" s="278"/>
      <c r="E24" s="314">
        <f>'汇总表(文档相关)ok'!M33</f>
        <v>24</v>
      </c>
      <c r="F24" s="314"/>
      <c r="G24" s="66" t="str">
        <f>'汇总表(文档相关)ok'!$B$2</f>
        <v>穆笑岩高蕾 张晓丰方小娟</v>
      </c>
      <c r="H24" s="79" t="s">
        <v>136</v>
      </c>
    </row>
    <row r="25" spans="1:8" ht="15">
      <c r="A25" s="315"/>
      <c r="B25" s="278" t="str">
        <f>'汇总表(文档相关)ok'!B34</f>
        <v>执行合格性测试</v>
      </c>
      <c r="C25" s="278"/>
      <c r="D25" s="278"/>
      <c r="E25" s="314">
        <f>'汇总表(文档相关)ok'!M34</f>
        <v>48</v>
      </c>
      <c r="F25" s="314"/>
      <c r="G25" s="66" t="str">
        <f>'汇总表(文档相关)ok'!$B$2</f>
        <v>穆笑岩高蕾 张晓丰方小娟</v>
      </c>
      <c r="H25" s="79" t="s">
        <v>136</v>
      </c>
    </row>
    <row r="26" spans="1:8" ht="15">
      <c r="A26" s="315"/>
      <c r="B26" s="278" t="str">
        <f>'汇总表(文档相关)ok'!B35</f>
        <v>执行单元测试</v>
      </c>
      <c r="C26" s="278"/>
      <c r="D26" s="278"/>
      <c r="E26" s="314">
        <f>'汇总表(文档相关)ok'!M35</f>
        <v>36</v>
      </c>
      <c r="F26" s="314"/>
      <c r="G26" s="66" t="str">
        <f>'汇总表(文档相关)ok'!$B$2</f>
        <v>穆笑岩高蕾 张晓丰方小娟</v>
      </c>
      <c r="H26" s="79" t="s">
        <v>136</v>
      </c>
    </row>
    <row r="27" spans="1:8" ht="14.5" customHeight="1">
      <c r="A27" s="315"/>
      <c r="B27" s="278" t="str">
        <f>'汇总表(代码相关)'!B12</f>
        <v>1代码实现</v>
      </c>
      <c r="C27" s="278"/>
      <c r="D27" s="278"/>
      <c r="E27" s="304">
        <f>'汇总表(代码相关)'!O12</f>
        <v>49</v>
      </c>
      <c r="F27" s="304"/>
      <c r="G27" s="66" t="str">
        <f>'汇总表(代码相关)'!$B$2</f>
        <v>穆笑岩张晓丰刁鹏孙贵磊</v>
      </c>
      <c r="H27" s="79" t="s">
        <v>136</v>
      </c>
    </row>
    <row r="28" spans="1:8" ht="17" customHeight="1">
      <c r="A28" s="315"/>
      <c r="B28" s="278" t="str">
        <f>'汇总表(代码相关)'!B13</f>
        <v>2代码实现</v>
      </c>
      <c r="C28" s="278"/>
      <c r="D28" s="278"/>
      <c r="E28" s="304">
        <f>'汇总表(代码相关)'!O13</f>
        <v>142</v>
      </c>
      <c r="F28" s="304"/>
      <c r="G28" s="66" t="str">
        <f>'汇总表(代码相关)'!$B$2</f>
        <v>穆笑岩张晓丰刁鹏孙贵磊</v>
      </c>
      <c r="H28" s="79" t="s">
        <v>136</v>
      </c>
    </row>
    <row r="29" spans="1:8" ht="15">
      <c r="A29" s="315"/>
      <c r="B29" s="278" t="str">
        <f>'汇总表(代码相关)'!B14</f>
        <v>3代码实现</v>
      </c>
      <c r="C29" s="278"/>
      <c r="D29" s="278"/>
      <c r="E29" s="304">
        <f>'汇总表(代码相关)'!O14</f>
        <v>225</v>
      </c>
      <c r="F29" s="304"/>
      <c r="G29" s="66" t="str">
        <f>'汇总表(代码相关)'!$B$2</f>
        <v>穆笑岩张晓丰刁鹏孙贵磊</v>
      </c>
      <c r="H29" s="79" t="s">
        <v>136</v>
      </c>
    </row>
    <row r="30" spans="1:8" ht="15">
      <c r="A30" s="315"/>
      <c r="B30" s="278" t="str">
        <f>'汇总表(代码相关)'!B15</f>
        <v>4代码实现</v>
      </c>
      <c r="C30" s="278"/>
      <c r="D30" s="278"/>
      <c r="E30" s="304">
        <f>'汇总表(代码相关)'!O15</f>
        <v>64</v>
      </c>
      <c r="F30" s="304"/>
      <c r="G30" s="66" t="str">
        <f>'汇总表(代码相关)'!$B$2</f>
        <v>穆笑岩张晓丰刁鹏孙贵磊</v>
      </c>
      <c r="H30" s="79" t="s">
        <v>136</v>
      </c>
    </row>
    <row r="31" spans="1:8" ht="14.5" customHeight="1">
      <c r="A31" s="315"/>
      <c r="B31" s="278" t="e">
        <f>'汇总表(代码相关)'!#REF!</f>
        <v>#REF!</v>
      </c>
      <c r="C31" s="278"/>
      <c r="D31" s="278"/>
      <c r="E31" s="304" t="e">
        <f>'汇总表(代码相关)'!#REF!</f>
        <v>#REF!</v>
      </c>
      <c r="F31" s="304"/>
      <c r="G31" s="66" t="str">
        <f>'汇总表(代码相关)'!$B$2</f>
        <v>穆笑岩张晓丰刁鹏孙贵磊</v>
      </c>
      <c r="H31" s="79" t="s">
        <v>136</v>
      </c>
    </row>
    <row r="32" spans="1:8" ht="29.25" customHeight="1">
      <c r="A32" s="315"/>
      <c r="B32" s="278" t="e">
        <f>'汇总表(代码相关)'!#REF!</f>
        <v>#REF!</v>
      </c>
      <c r="C32" s="278"/>
      <c r="D32" s="278"/>
      <c r="E32" s="304" t="e">
        <f>'汇总表(代码相关)'!#REF!</f>
        <v>#REF!</v>
      </c>
      <c r="F32" s="304"/>
      <c r="G32" s="66" t="str">
        <f>'汇总表(代码相关)'!$B$2</f>
        <v>穆笑岩张晓丰刁鹏孙贵磊</v>
      </c>
      <c r="H32" s="79" t="s">
        <v>136</v>
      </c>
    </row>
    <row r="33" spans="1:8" ht="32.25" customHeight="1">
      <c r="A33" s="315"/>
      <c r="B33" s="278" t="e">
        <f>'汇总表(代码相关)'!#REF!</f>
        <v>#REF!</v>
      </c>
      <c r="C33" s="278"/>
      <c r="D33" s="278"/>
      <c r="E33" s="304" t="e">
        <f>'汇总表(代码相关)'!#REF!</f>
        <v>#REF!</v>
      </c>
      <c r="F33" s="304"/>
      <c r="G33" s="66" t="str">
        <f>'汇总表(代码相关)'!$B$2</f>
        <v>穆笑岩张晓丰刁鹏孙贵磊</v>
      </c>
      <c r="H33" s="79" t="s">
        <v>136</v>
      </c>
    </row>
    <row r="34" spans="1:8" ht="15">
      <c r="A34" s="315"/>
      <c r="B34" s="278" t="e">
        <f>'汇总表(代码相关)'!#REF!</f>
        <v>#REF!</v>
      </c>
      <c r="C34" s="278"/>
      <c r="D34" s="278"/>
      <c r="E34" s="304" t="e">
        <f>'汇总表(代码相关)'!#REF!</f>
        <v>#REF!</v>
      </c>
      <c r="F34" s="304"/>
      <c r="G34" s="66" t="str">
        <f>'汇总表(代码相关)'!$B$2</f>
        <v>穆笑岩张晓丰刁鹏孙贵磊</v>
      </c>
      <c r="H34" s="79" t="s">
        <v>136</v>
      </c>
    </row>
    <row r="35" spans="1:8" ht="14.5" customHeight="1">
      <c r="A35" s="315"/>
      <c r="B35" s="278" t="e">
        <f>'汇总表(代码相关)'!#REF!</f>
        <v>#REF!</v>
      </c>
      <c r="C35" s="278"/>
      <c r="D35" s="278"/>
      <c r="E35" s="304" t="e">
        <f>'汇总表(代码相关)'!#REF!</f>
        <v>#REF!</v>
      </c>
      <c r="F35" s="304"/>
      <c r="G35" s="66" t="str">
        <f>'汇总表(代码相关)'!$B$2</f>
        <v>穆笑岩张晓丰刁鹏孙贵磊</v>
      </c>
      <c r="H35" s="79" t="s">
        <v>136</v>
      </c>
    </row>
    <row r="36" spans="1:8" ht="17" customHeight="1">
      <c r="A36" s="315"/>
      <c r="B36" s="278" t="str">
        <f>'汇总表(代码相关)'!B16</f>
        <v>合格性测试bug修改</v>
      </c>
      <c r="C36" s="278"/>
      <c r="D36" s="278"/>
      <c r="E36" s="304">
        <f>'汇总表(代码相关)'!O16</f>
        <v>39</v>
      </c>
      <c r="F36" s="304"/>
      <c r="G36" s="66" t="str">
        <f>'汇总表(代码相关)'!$B$2</f>
        <v>穆笑岩张晓丰刁鹏孙贵磊</v>
      </c>
      <c r="H36" s="79" t="s">
        <v>136</v>
      </c>
    </row>
    <row r="37" spans="1:8" ht="30.75" customHeight="1">
      <c r="A37" s="315"/>
      <c r="B37" s="278" t="e">
        <f>'汇总表(代码相关)'!#REF!</f>
        <v>#REF!</v>
      </c>
      <c r="C37" s="278"/>
      <c r="D37" s="278"/>
      <c r="E37" s="304" t="e">
        <f>'汇总表(代码相关)'!#REF!</f>
        <v>#REF!</v>
      </c>
      <c r="F37" s="304"/>
      <c r="G37" s="66" t="str">
        <f>'汇总表(代码相关)'!$B$2</f>
        <v>穆笑岩张晓丰刁鹏孙贵磊</v>
      </c>
      <c r="H37" s="79" t="s">
        <v>136</v>
      </c>
    </row>
    <row r="38" spans="1:8" ht="15.5" customHeight="1">
      <c r="A38" s="316"/>
      <c r="B38" s="296" t="s">
        <v>72</v>
      </c>
      <c r="C38" s="317"/>
      <c r="D38" s="297"/>
      <c r="E38" s="198" t="e">
        <f>SUM(E9:E37)</f>
        <v>#REF!</v>
      </c>
      <c r="F38" s="199"/>
      <c r="G38" s="199"/>
      <c r="H38" s="295"/>
    </row>
    <row r="39" spans="1:8" ht="16.25" customHeight="1">
      <c r="A39" s="323" t="s">
        <v>135</v>
      </c>
      <c r="B39" s="278" t="str">
        <f>'汇总表(文档相关)ok'!B21:E21</f>
        <v>软件开发计划编写</v>
      </c>
      <c r="C39" s="278"/>
      <c r="D39" s="278"/>
      <c r="E39" s="314">
        <f>'汇总表(文档相关)ok'!M21</f>
        <v>12</v>
      </c>
      <c r="F39" s="314"/>
      <c r="G39" s="66" t="str">
        <f>'汇总表(文档相关)ok'!B2</f>
        <v>穆笑岩高蕾 张晓丰方小娟</v>
      </c>
      <c r="H39" s="79" t="s">
        <v>136</v>
      </c>
    </row>
    <row r="40" spans="1:8" ht="17.5" customHeight="1">
      <c r="A40" s="315"/>
      <c r="B40" s="278" t="str">
        <f>'汇总表(文档相关)ok'!B22:E22</f>
        <v>软件质量保证计划编写</v>
      </c>
      <c r="C40" s="278"/>
      <c r="D40" s="278"/>
      <c r="E40" s="314">
        <f>'汇总表(文档相关)ok'!M22</f>
        <v>6</v>
      </c>
      <c r="F40" s="314"/>
      <c r="G40" s="66" t="str">
        <f>'汇总表(文档相关)ok'!B2</f>
        <v>穆笑岩高蕾 张晓丰方小娟</v>
      </c>
      <c r="H40" s="79" t="s">
        <v>136</v>
      </c>
    </row>
    <row r="41" spans="1:8" ht="15" customHeight="1">
      <c r="A41" s="315"/>
      <c r="B41" s="278" t="str">
        <f>'汇总表(文档相关)ok'!B23:E23</f>
        <v>软件配置管理计划编写</v>
      </c>
      <c r="C41" s="278"/>
      <c r="D41" s="278"/>
      <c r="E41" s="314">
        <f>'汇总表(文档相关)ok'!M23</f>
        <v>6</v>
      </c>
      <c r="F41" s="314"/>
      <c r="G41" s="66" t="str">
        <f>'汇总表(文档相关)ok'!B2</f>
        <v>穆笑岩高蕾 张晓丰方小娟</v>
      </c>
      <c r="H41" s="79" t="s">
        <v>136</v>
      </c>
    </row>
    <row r="42" spans="1:8" ht="18" customHeight="1">
      <c r="A42" s="315"/>
      <c r="B42" s="278" t="str">
        <f>'汇总表(文档相关)ok'!B24:E24</f>
        <v>测量与分析计划编写</v>
      </c>
      <c r="C42" s="278"/>
      <c r="D42" s="278"/>
      <c r="E42" s="314">
        <f>'汇总表(文档相关)ok'!M24</f>
        <v>6</v>
      </c>
      <c r="F42" s="314"/>
      <c r="G42" s="66" t="str">
        <f>'汇总表(文档相关)ok'!B2</f>
        <v>穆笑岩高蕾 张晓丰方小娟</v>
      </c>
      <c r="H42" s="79" t="s">
        <v>136</v>
      </c>
    </row>
    <row r="43" spans="1:8">
      <c r="A43" s="316"/>
      <c r="B43" s="301" t="s">
        <v>72</v>
      </c>
      <c r="C43" s="301"/>
      <c r="D43" s="301"/>
      <c r="E43" s="198">
        <f>SUM(E39:F42)</f>
        <v>30</v>
      </c>
      <c r="F43" s="199"/>
      <c r="G43" s="199"/>
      <c r="H43" s="295"/>
    </row>
    <row r="44" spans="1:8" ht="15">
      <c r="A44" s="322" t="s">
        <v>127</v>
      </c>
      <c r="B44" s="199"/>
      <c r="C44" s="199"/>
      <c r="D44" s="200"/>
      <c r="E44" s="153">
        <f>配置管理工作量估计ok!D26</f>
        <v>18.5</v>
      </c>
      <c r="F44" s="153"/>
      <c r="G44" s="66" t="str">
        <f>配置管理工作量估计ok!E2</f>
        <v>王令敏</v>
      </c>
      <c r="H44" s="79" t="s">
        <v>132</v>
      </c>
    </row>
    <row r="45" spans="1:8" ht="15">
      <c r="A45" s="322" t="s">
        <v>128</v>
      </c>
      <c r="B45" s="199"/>
      <c r="C45" s="199"/>
      <c r="D45" s="200"/>
      <c r="E45" s="153">
        <f>质量保证工作量估计ok!D76</f>
        <v>107</v>
      </c>
      <c r="F45" s="153"/>
      <c r="G45" s="66" t="str">
        <f>质量保证工作量估计ok!F2</f>
        <v>高蕾</v>
      </c>
      <c r="H45" s="79" t="s">
        <v>132</v>
      </c>
    </row>
    <row r="46" spans="1:8" ht="15">
      <c r="A46" s="322" t="s">
        <v>133</v>
      </c>
      <c r="B46" s="199"/>
      <c r="C46" s="199"/>
      <c r="D46" s="200"/>
      <c r="E46" s="153">
        <f>评审工作量!E23</f>
        <v>106.5</v>
      </c>
      <c r="F46" s="153"/>
      <c r="G46" s="66" t="str">
        <f>评审工作量!C2</f>
        <v>李闯</v>
      </c>
      <c r="H46" s="79" t="s">
        <v>132</v>
      </c>
    </row>
    <row r="47" spans="1:8" ht="15">
      <c r="A47" s="322" t="s">
        <v>129</v>
      </c>
      <c r="B47" s="199"/>
      <c r="C47" s="199"/>
      <c r="D47" s="200"/>
      <c r="E47" s="153">
        <f>其他管理类工作量估计ok!C35</f>
        <v>151</v>
      </c>
      <c r="F47" s="153"/>
      <c r="G47" s="66" t="str">
        <f>其他管理类工作量估计ok!B2</f>
        <v>穆笑岩</v>
      </c>
      <c r="H47" s="79" t="s">
        <v>132</v>
      </c>
    </row>
    <row r="48" spans="1:8">
      <c r="A48" s="279" t="s">
        <v>59</v>
      </c>
      <c r="B48" s="318"/>
      <c r="C48" s="318"/>
      <c r="D48" s="318"/>
      <c r="E48" s="318"/>
      <c r="F48" s="318"/>
      <c r="G48" s="318"/>
      <c r="H48" s="319"/>
    </row>
    <row r="49" spans="1:8">
      <c r="A49" s="320" t="s">
        <v>134</v>
      </c>
      <c r="B49" s="301"/>
      <c r="C49" s="301" t="e">
        <f>SUM(E38+E43+E44+E45+E46+E47)</f>
        <v>#REF!</v>
      </c>
      <c r="D49" s="301"/>
      <c r="E49" s="301"/>
      <c r="F49" s="301"/>
      <c r="G49" s="301"/>
      <c r="H49" s="321"/>
    </row>
    <row r="50" spans="1:8">
      <c r="A50" s="305" t="s">
        <v>51</v>
      </c>
      <c r="B50" s="306"/>
      <c r="C50" s="306"/>
      <c r="D50" s="306"/>
      <c r="E50" s="306"/>
      <c r="F50" s="306"/>
      <c r="G50" s="306"/>
      <c r="H50" s="307"/>
    </row>
    <row r="51" spans="1:8">
      <c r="A51" s="308"/>
      <c r="B51" s="309"/>
      <c r="C51" s="309"/>
      <c r="D51" s="309"/>
      <c r="E51" s="309"/>
      <c r="F51" s="309"/>
      <c r="G51" s="309"/>
      <c r="H51" s="310"/>
    </row>
    <row r="52" spans="1:8">
      <c r="A52" s="308"/>
      <c r="B52" s="309"/>
      <c r="C52" s="309"/>
      <c r="D52" s="309"/>
      <c r="E52" s="309"/>
      <c r="F52" s="309"/>
      <c r="G52" s="309"/>
      <c r="H52" s="310"/>
    </row>
    <row r="53" spans="1:8">
      <c r="A53" s="308"/>
      <c r="B53" s="309"/>
      <c r="C53" s="309"/>
      <c r="D53" s="309"/>
      <c r="E53" s="309"/>
      <c r="F53" s="309"/>
      <c r="G53" s="309"/>
      <c r="H53" s="310"/>
    </row>
    <row r="54" spans="1:8" ht="44" customHeight="1" thickBot="1">
      <c r="A54" s="311"/>
      <c r="B54" s="312"/>
      <c r="C54" s="312"/>
      <c r="D54" s="312"/>
      <c r="E54" s="312"/>
      <c r="F54" s="312"/>
      <c r="G54" s="312"/>
      <c r="H54" s="313"/>
    </row>
    <row r="55" spans="1:8" ht="15" thickTop="1"/>
  </sheetData>
  <mergeCells count="96">
    <mergeCell ref="B28:D28"/>
    <mergeCell ref="E28:F28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30:D30"/>
    <mergeCell ref="E30:F30"/>
    <mergeCell ref="B31:D31"/>
    <mergeCell ref="E31:F31"/>
    <mergeCell ref="B32:D32"/>
    <mergeCell ref="E32:F32"/>
    <mergeCell ref="A39:A43"/>
    <mergeCell ref="A44:D44"/>
    <mergeCell ref="A45:D45"/>
    <mergeCell ref="E41:F41"/>
    <mergeCell ref="B39:D39"/>
    <mergeCell ref="E39:F39"/>
    <mergeCell ref="B40:D40"/>
    <mergeCell ref="E40:F40"/>
    <mergeCell ref="E44:F44"/>
    <mergeCell ref="E45:F45"/>
    <mergeCell ref="E42:F42"/>
    <mergeCell ref="B42:D42"/>
    <mergeCell ref="E43:H43"/>
    <mergeCell ref="B41:D41"/>
    <mergeCell ref="A48:H48"/>
    <mergeCell ref="A49:B49"/>
    <mergeCell ref="C49:H49"/>
    <mergeCell ref="A46:D46"/>
    <mergeCell ref="A47:D47"/>
    <mergeCell ref="E46:F46"/>
    <mergeCell ref="B8:D8"/>
    <mergeCell ref="E8:F8"/>
    <mergeCell ref="B9:D9"/>
    <mergeCell ref="E9:F9"/>
    <mergeCell ref="B38:D38"/>
    <mergeCell ref="B10:D10"/>
    <mergeCell ref="B14:D14"/>
    <mergeCell ref="E10:F10"/>
    <mergeCell ref="E14:F14"/>
    <mergeCell ref="B13:D13"/>
    <mergeCell ref="E13:F13"/>
    <mergeCell ref="B11:D11"/>
    <mergeCell ref="E11:F11"/>
    <mergeCell ref="B12:D12"/>
    <mergeCell ref="E12:F12"/>
    <mergeCell ref="E20:F20"/>
    <mergeCell ref="B34:D34"/>
    <mergeCell ref="E34:F34"/>
    <mergeCell ref="B35:D35"/>
    <mergeCell ref="E35:F35"/>
    <mergeCell ref="B36:D36"/>
    <mergeCell ref="E36:F36"/>
    <mergeCell ref="A50:H5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47:F47"/>
    <mergeCell ref="A9:A38"/>
    <mergeCell ref="B37:D37"/>
    <mergeCell ref="E37:F37"/>
    <mergeCell ref="E38:H38"/>
    <mergeCell ref="B43:D43"/>
    <mergeCell ref="B1:D1"/>
    <mergeCell ref="E1:F1"/>
    <mergeCell ref="G1:H1"/>
    <mergeCell ref="C7:H7"/>
    <mergeCell ref="C3:H3"/>
    <mergeCell ref="C2:H2"/>
    <mergeCell ref="C6:H6"/>
    <mergeCell ref="C5:H5"/>
    <mergeCell ref="C4:H4"/>
    <mergeCell ref="A2:B7"/>
    <mergeCell ref="B29:D29"/>
    <mergeCell ref="E29:F29"/>
    <mergeCell ref="B33:D33"/>
    <mergeCell ref="E33:F33"/>
  </mergeCells>
  <phoneticPr fontId="2" type="noConversion"/>
  <pageMargins left="0.7" right="0.7" top="0.75" bottom="0.75" header="0.3" footer="0.3"/>
  <pageSetup paperSize="9" orientation="portrait" r:id="rId1"/>
  <headerFooter>
    <oddHeader>&amp;C&amp;16工作量估计结果报告&amp;R
单位：人时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文档规模及工作量估计ok</vt:lpstr>
      <vt:lpstr>代码规模及工作量估计</vt:lpstr>
      <vt:lpstr>汇总表(文档相关)ok</vt:lpstr>
      <vt:lpstr>汇总表(代码相关)</vt:lpstr>
      <vt:lpstr>配置管理工作量估计ok</vt:lpstr>
      <vt:lpstr>质量保证工作量估计ok</vt:lpstr>
      <vt:lpstr>其他管理类工作量估计ok</vt:lpstr>
      <vt:lpstr>评审工作量</vt:lpstr>
      <vt:lpstr>规模估计结果报告</vt:lpstr>
      <vt:lpstr>工作量估计结果报告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</dc:creator>
  <cp:lastModifiedBy>sophia.content@outlook.com</cp:lastModifiedBy>
  <cp:lastPrinted>2023-12-06T03:23:23Z</cp:lastPrinted>
  <dcterms:created xsi:type="dcterms:W3CDTF">2023-12-06T02:42:07Z</dcterms:created>
  <dcterms:modified xsi:type="dcterms:W3CDTF">2026-06-25T05:58:46Z</dcterms:modified>
</cp:coreProperties>
</file>