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aoyiman/Desktop/Code/5000B/EstimateM/"/>
    </mc:Choice>
  </mc:AlternateContent>
  <xr:revisionPtr revIDLastSave="0" documentId="13_ncr:1_{97BC9C91-DCAE-0147-B6B1-010586786187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项目信息" sheetId="1" r:id="rId1"/>
    <sheet name="项目进度计划" sheetId="2" r:id="rId2"/>
    <sheet name="配置项清单" sheetId="3" r:id="rId3"/>
    <sheet name="基线组成" sheetId="4" r:id="rId4"/>
    <sheet name="代码模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2" i="3"/>
  <c r="C4" i="5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  <c r="E190" i="2"/>
  <c r="E167" i="2"/>
  <c r="E163" i="2"/>
  <c r="E162" i="2"/>
  <c r="E161" i="2"/>
  <c r="E160" i="2"/>
  <c r="E159" i="2"/>
  <c r="E158" i="2"/>
  <c r="E157" i="2"/>
  <c r="E119" i="2"/>
  <c r="E83" i="2"/>
  <c r="E82" i="2"/>
  <c r="E51" i="2"/>
  <c r="E47" i="2"/>
  <c r="E46" i="2"/>
  <c r="E45" i="2"/>
  <c r="E13" i="2"/>
</calcChain>
</file>

<file path=xl/sharedStrings.xml><?xml version="1.0" encoding="utf-8"?>
<sst xmlns="http://schemas.openxmlformats.org/spreadsheetml/2006/main" count="688" uniqueCount="403">
  <si>
    <t>项目名称</t>
  </si>
  <si>
    <t>项目代号</t>
  </si>
  <si>
    <t>项目组长</t>
  </si>
  <si>
    <t>配置管理员</t>
  </si>
  <si>
    <t>质量管理员</t>
  </si>
  <si>
    <t>估计轮次</t>
  </si>
  <si>
    <t>文档估计人1</t>
  </si>
  <si>
    <t>文档估计人2</t>
  </si>
  <si>
    <t>文档估计人3</t>
  </si>
  <si>
    <t>文档估计人4</t>
  </si>
  <si>
    <t>代码估计人1</t>
  </si>
  <si>
    <t>代码估计人2</t>
  </si>
  <si>
    <t>代码估计人3</t>
  </si>
  <si>
    <t>代码估计人4</t>
  </si>
  <si>
    <t>CM估计人</t>
  </si>
  <si>
    <t>QA估计人</t>
  </si>
  <si>
    <t>管理估计人</t>
  </si>
  <si>
    <t>评审估计人</t>
  </si>
  <si>
    <t>项目组成员
(逗号分隔)</t>
  </si>
  <si>
    <t>赵要浦</t>
  </si>
  <si>
    <t>方小娟</t>
  </si>
  <si>
    <t>WBS</t>
  </si>
  <si>
    <t>任务名称</t>
  </si>
  <si>
    <t>计划开始时间</t>
  </si>
  <si>
    <t>计划完成时间</t>
  </si>
  <si>
    <t>关联配置项</t>
  </si>
  <si>
    <t>工期(天)</t>
  </si>
  <si>
    <t>工作量(人时)</t>
  </si>
  <si>
    <t>资源名称
(逗号分隔)</t>
  </si>
  <si>
    <t>系统分析与设计</t>
  </si>
  <si>
    <t>软件工程活动</t>
  </si>
  <si>
    <t>1.1.1</t>
  </si>
  <si>
    <t>顾客需求开发与沟通</t>
  </si>
  <si>
    <t>1.1.2</t>
  </si>
  <si>
    <t>软件研制任务书研讨会</t>
  </si>
  <si>
    <t>1.1.3</t>
  </si>
  <si>
    <t>软件研制任务书编写</t>
  </si>
  <si>
    <t>评审活动</t>
  </si>
  <si>
    <t>1.2.1</t>
  </si>
  <si>
    <t>评审软件研制任务书</t>
  </si>
  <si>
    <t>项目监控活动</t>
  </si>
  <si>
    <t>1.3.1</t>
  </si>
  <si>
    <t>项目启动会</t>
  </si>
  <si>
    <t>1.3.2</t>
  </si>
  <si>
    <t>阶段例会</t>
  </si>
  <si>
    <t>配置管理活动</t>
  </si>
  <si>
    <t>1.4.1</t>
  </si>
  <si>
    <t>软件研制任务书入库</t>
  </si>
  <si>
    <t>1.4.2</t>
  </si>
  <si>
    <t>发布功能基线</t>
  </si>
  <si>
    <t>1.4.3</t>
  </si>
  <si>
    <t>配置状态纪实</t>
  </si>
  <si>
    <t>1.4.4</t>
  </si>
  <si>
    <t>配置管理报告</t>
  </si>
  <si>
    <t>质量保证活动</t>
  </si>
  <si>
    <t>1.5.1</t>
  </si>
  <si>
    <t>审核软件研制任务书</t>
  </si>
  <si>
    <t>1.5.2</t>
  </si>
  <si>
    <t>审核需求开发与管理</t>
  </si>
  <si>
    <t>1.5.3</t>
  </si>
  <si>
    <t>审核验证与确认-工作产品评审</t>
  </si>
  <si>
    <t>1.5.4</t>
  </si>
  <si>
    <t>审核配置管理</t>
  </si>
  <si>
    <t>1.5.5</t>
  </si>
  <si>
    <t>拟制质量审核报告</t>
  </si>
  <si>
    <t>需求管理</t>
  </si>
  <si>
    <t>1.6.1</t>
  </si>
  <si>
    <t>需求追踪关系检查确认及需管报告编写</t>
  </si>
  <si>
    <t>需求分析阶段</t>
  </si>
  <si>
    <t>策划活动</t>
  </si>
  <si>
    <t>2.1.1</t>
  </si>
  <si>
    <t>项目策划会</t>
  </si>
  <si>
    <t>2.1.2</t>
  </si>
  <si>
    <t>编写软件开发计划（包含项目估算）</t>
  </si>
  <si>
    <t>2.1.3</t>
  </si>
  <si>
    <t>编写测量与分析计划</t>
  </si>
  <si>
    <t>2.1.4</t>
  </si>
  <si>
    <t>编写质量保证计划</t>
  </si>
  <si>
    <t>2.1.5</t>
  </si>
  <si>
    <t>编写配置管理计划</t>
  </si>
  <si>
    <t>2.2.1</t>
  </si>
  <si>
    <t>编写软件需求规格说明</t>
  </si>
  <si>
    <t>2.2.2</t>
  </si>
  <si>
    <t>编写合格性测试计划</t>
  </si>
  <si>
    <t>2.3.1</t>
  </si>
  <si>
    <t>评审软件开发计划等</t>
  </si>
  <si>
    <t>2.3.2</t>
  </si>
  <si>
    <t>评审软件需求规格说明</t>
  </si>
  <si>
    <t>2.3.3</t>
  </si>
  <si>
    <t>评审合格性测试计划</t>
  </si>
  <si>
    <t>2.4.1</t>
  </si>
  <si>
    <t>双周进度跟踪</t>
  </si>
  <si>
    <t>2.4.2</t>
  </si>
  <si>
    <t>双周例会</t>
  </si>
  <si>
    <t>2.4.3</t>
  </si>
  <si>
    <t>阶段进度跟踪</t>
  </si>
  <si>
    <t>2.4.4</t>
  </si>
  <si>
    <t>2.5.1</t>
  </si>
  <si>
    <t>软件开发计划入库</t>
  </si>
  <si>
    <t>2.5.2</t>
  </si>
  <si>
    <t>软件需求规格说明入库</t>
  </si>
  <si>
    <t>2.5.3</t>
  </si>
  <si>
    <t>软件合格性测试计划入库</t>
  </si>
  <si>
    <t>2.5.4</t>
  </si>
  <si>
    <t>发布分配基线</t>
  </si>
  <si>
    <t>2.5.5</t>
  </si>
  <si>
    <t>配置状态纪实（阶段）</t>
  </si>
  <si>
    <t>2.5.6</t>
  </si>
  <si>
    <t>2.5.7</t>
  </si>
  <si>
    <t>技术协议入库</t>
  </si>
  <si>
    <t>2.6.1</t>
  </si>
  <si>
    <t>审核项目策划过程</t>
  </si>
  <si>
    <t>2.6.2</t>
  </si>
  <si>
    <t>审核验证与确认过程</t>
  </si>
  <si>
    <t>2.6.3</t>
  </si>
  <si>
    <t>审核需求开发与管理过程</t>
  </si>
  <si>
    <t>2.6.4</t>
  </si>
  <si>
    <t>审核配置管理过程-阶段</t>
  </si>
  <si>
    <t>2.6.5</t>
  </si>
  <si>
    <t>审核项目监控过程-双周</t>
  </si>
  <si>
    <t>2.6.6</t>
  </si>
  <si>
    <t>审核测量与绩效管理过程-双周</t>
  </si>
  <si>
    <t>2.6.7</t>
  </si>
  <si>
    <t>审核项目监控过程-阶段</t>
  </si>
  <si>
    <t>2.6.8</t>
  </si>
  <si>
    <t>审核测量与绩效管理过程-阶段</t>
  </si>
  <si>
    <t>2.6.9</t>
  </si>
  <si>
    <t>产品审核-软件开发计划等</t>
  </si>
  <si>
    <t>2.6.10</t>
  </si>
  <si>
    <t>产品审核-软件需求规格说明</t>
  </si>
  <si>
    <t>2.6.11</t>
  </si>
  <si>
    <t>产品审核-合格性测试计划</t>
  </si>
  <si>
    <t>2.6.12</t>
  </si>
  <si>
    <t>拟制质量审核报告-双周</t>
  </si>
  <si>
    <t>2.6.13</t>
  </si>
  <si>
    <t>拟制质量审核报告-阶段</t>
  </si>
  <si>
    <t>2.7.1</t>
  </si>
  <si>
    <t xml:space="preserve"> 需求追踪关系检查确认及需管报告编写</t>
  </si>
  <si>
    <t>软件设计阶段</t>
  </si>
  <si>
    <t>3.1.1</t>
  </si>
  <si>
    <t>阶段详细策划</t>
  </si>
  <si>
    <t>3.2.1</t>
  </si>
  <si>
    <t>编写软件设计说明</t>
  </si>
  <si>
    <t>3.2.2</t>
  </si>
  <si>
    <t>编写软件接口设计说明</t>
  </si>
  <si>
    <t>3.2.3</t>
  </si>
  <si>
    <t>编写单元测试计划</t>
  </si>
  <si>
    <t>3.3.1</t>
  </si>
  <si>
    <t>评审软件设计说明、软件接口设计说明</t>
  </si>
  <si>
    <t>3.3.2</t>
  </si>
  <si>
    <t>评审单元测试计划</t>
  </si>
  <si>
    <t>3.4.1</t>
  </si>
  <si>
    <t>3.4.2</t>
  </si>
  <si>
    <t>3.5.1</t>
  </si>
  <si>
    <t>软件设计说明、软件接口设计说明入库</t>
  </si>
  <si>
    <t>3.5.2</t>
  </si>
  <si>
    <t>单元测试计划入库</t>
  </si>
  <si>
    <t>3.5.3</t>
  </si>
  <si>
    <t>3.5.4</t>
  </si>
  <si>
    <t>3.6.1</t>
  </si>
  <si>
    <t>3.6.2</t>
  </si>
  <si>
    <t>3.6.3</t>
  </si>
  <si>
    <t>3.6.4</t>
  </si>
  <si>
    <t>审核配置管理-阶段</t>
  </si>
  <si>
    <t>3.6.5</t>
  </si>
  <si>
    <t>审核项目监控-阶段</t>
  </si>
  <si>
    <t>3.6.6</t>
  </si>
  <si>
    <t>审核测量与绩效管理-阶段</t>
  </si>
  <si>
    <t>3.6.7</t>
  </si>
  <si>
    <t>产品审核-软件设计说明</t>
  </si>
  <si>
    <t>3.6.8</t>
  </si>
  <si>
    <t>产品审核-软件单元测试计划</t>
  </si>
  <si>
    <t>3.6.9</t>
  </si>
  <si>
    <t>3.7.1</t>
  </si>
  <si>
    <t>软件编码与单元测试阶段</t>
  </si>
  <si>
    <t>4.1.1</t>
  </si>
  <si>
    <t>4.2.1</t>
  </si>
  <si>
    <t>编写源代码</t>
  </si>
  <si>
    <t>4.2.2</t>
  </si>
  <si>
    <t>执行单元测试</t>
  </si>
  <si>
    <t>4.2.3</t>
  </si>
  <si>
    <t>单元测试BUG修改</t>
  </si>
  <si>
    <t>4.2.4</t>
  </si>
  <si>
    <t>编写单元测试报告</t>
  </si>
  <si>
    <t>4.2.5</t>
  </si>
  <si>
    <t>编写合格性测试说明</t>
  </si>
  <si>
    <t>4.3.1</t>
  </si>
  <si>
    <t>评审单元测试报告</t>
  </si>
  <si>
    <t>4.4.1</t>
  </si>
  <si>
    <t>4.4.2</t>
  </si>
  <si>
    <t>4.4.3</t>
  </si>
  <si>
    <t>4.4.4</t>
  </si>
  <si>
    <t>4.5.1</t>
  </si>
  <si>
    <t>软件源代码V0.0.3、单元测试报告入库</t>
  </si>
  <si>
    <t>4.5.2</t>
  </si>
  <si>
    <t>配置状态纪实（月）</t>
  </si>
  <si>
    <t>4.5.3</t>
  </si>
  <si>
    <t>4.5.4</t>
  </si>
  <si>
    <t>4.6.1</t>
  </si>
  <si>
    <t>4.6.2</t>
  </si>
  <si>
    <t>4.6.3</t>
  </si>
  <si>
    <t>4.6.4</t>
  </si>
  <si>
    <t>审核配置管理过程-月</t>
  </si>
  <si>
    <t>4.6.5</t>
  </si>
  <si>
    <t>审核配置管理过程-阶段末</t>
  </si>
  <si>
    <t>4.6.6</t>
  </si>
  <si>
    <t>审核项目监控-双周</t>
  </si>
  <si>
    <t>4.6.7</t>
  </si>
  <si>
    <t>审核测量与绩效管理-双周</t>
  </si>
  <si>
    <t>4.6.8</t>
  </si>
  <si>
    <t>4.6.9</t>
  </si>
  <si>
    <t>4.6.10</t>
  </si>
  <si>
    <t>审核质量保证-公司</t>
  </si>
  <si>
    <t>4.6.11</t>
  </si>
  <si>
    <t>产品审核-单元测试报告</t>
  </si>
  <si>
    <t>4.6.12</t>
  </si>
  <si>
    <t>4.6.13</t>
  </si>
  <si>
    <t>4.7.1</t>
  </si>
  <si>
    <t>公司质量验证</t>
  </si>
  <si>
    <t>软件合格性测试及集成试运行阶段</t>
  </si>
  <si>
    <t>软件编码里程碑</t>
  </si>
  <si>
    <t>6.2.1</t>
  </si>
  <si>
    <t>6.3.1</t>
  </si>
  <si>
    <t>编写用户手册</t>
  </si>
  <si>
    <t>6.3.2</t>
  </si>
  <si>
    <t>执行合格性测试</t>
  </si>
  <si>
    <t>6.3.3</t>
  </si>
  <si>
    <t>合格性测试BUG修改</t>
  </si>
  <si>
    <t>6.3.4</t>
  </si>
  <si>
    <t>编写合格性测试报告</t>
  </si>
  <si>
    <t>6.3.5</t>
  </si>
  <si>
    <t>算法集成、联调和试运行</t>
  </si>
  <si>
    <t>6.4.1</t>
  </si>
  <si>
    <t>评审合格性测试说明</t>
  </si>
  <si>
    <t>6.4.2</t>
  </si>
  <si>
    <t>评审合格性测试报告</t>
  </si>
  <si>
    <t>6.5.1</t>
  </si>
  <si>
    <t>6.5.2</t>
  </si>
  <si>
    <t>6.6.1</t>
  </si>
  <si>
    <t>合格性测试说明入库</t>
  </si>
  <si>
    <t>6.6.2</t>
  </si>
  <si>
    <t>软件源代码V0.0.3出库</t>
  </si>
  <si>
    <t>6.6.3</t>
  </si>
  <si>
    <t>软件源代码V0.0.4入库</t>
  </si>
  <si>
    <t>6.6.4</t>
  </si>
  <si>
    <t>软件源代码V0.0.4出库</t>
  </si>
  <si>
    <t>6.6.5</t>
  </si>
  <si>
    <t>合格性测试报告、软件源代码V1.0.0入库</t>
  </si>
  <si>
    <t>6.6.6</t>
  </si>
  <si>
    <t>软件源代码V1.0.0出库（集成联调）</t>
  </si>
  <si>
    <t>6.6.7</t>
  </si>
  <si>
    <t>集成联调后软件源代码V2.0.0入库</t>
  </si>
  <si>
    <t>6.6.8</t>
  </si>
  <si>
    <t>发布产品基线</t>
  </si>
  <si>
    <t>6.6.9</t>
  </si>
  <si>
    <t>6.6.10</t>
  </si>
  <si>
    <t>6.6.11</t>
  </si>
  <si>
    <t>软件源代码V2.0.0出库（提交用户入所检验）</t>
  </si>
  <si>
    <t>6.7.1</t>
  </si>
  <si>
    <t>审核项目策划</t>
  </si>
  <si>
    <t>6.7.2</t>
  </si>
  <si>
    <t>6.7.3</t>
  </si>
  <si>
    <t>6.7.4</t>
  </si>
  <si>
    <t>6.7.5</t>
  </si>
  <si>
    <t>6.7.6</t>
  </si>
  <si>
    <t>6.7.7</t>
  </si>
  <si>
    <t>产品审核-合格性测试说明</t>
  </si>
  <si>
    <t>6.7.8</t>
  </si>
  <si>
    <t>产品审核-合格性测试报告</t>
  </si>
  <si>
    <t>6.7.9</t>
  </si>
  <si>
    <t>产品审核-用户手册</t>
  </si>
  <si>
    <t>6.7.10</t>
  </si>
  <si>
    <t>拟制质量审核报告-阶段末</t>
  </si>
  <si>
    <t>6.8.1</t>
  </si>
  <si>
    <t>验收与交付</t>
  </si>
  <si>
    <t>7.1.1</t>
  </si>
  <si>
    <t>7.2.1</t>
  </si>
  <si>
    <t>入所检验保障</t>
  </si>
  <si>
    <t>7.2.2</t>
  </si>
  <si>
    <t>编写软件研制总结报告</t>
  </si>
  <si>
    <t>7.3.1</t>
  </si>
  <si>
    <t>项目跟踪-阶段</t>
  </si>
  <si>
    <t>7.4.1</t>
  </si>
  <si>
    <t>入所检验通过源代码V3.0.0入库</t>
  </si>
  <si>
    <t>7.4.2</t>
  </si>
  <si>
    <t>研制总结报告入库</t>
  </si>
  <si>
    <t>7.4.3</t>
  </si>
  <si>
    <t>发布入所产品基线</t>
  </si>
  <si>
    <t>7.4.4</t>
  </si>
  <si>
    <t>7.4.5</t>
  </si>
  <si>
    <t>7.5.1</t>
  </si>
  <si>
    <t>7.5.2</t>
  </si>
  <si>
    <t>7.5.3</t>
  </si>
  <si>
    <t>7.5.4</t>
  </si>
  <si>
    <t>7.5.5</t>
  </si>
  <si>
    <t>7.5.6</t>
  </si>
  <si>
    <t>拟制质量工作总结报告</t>
  </si>
  <si>
    <t>序号</t>
  </si>
  <si>
    <t>配置项名称</t>
  </si>
  <si>
    <t>配置项标识</t>
  </si>
  <si>
    <t>版本</t>
  </si>
  <si>
    <t>类型
(文档/代码/其他)</t>
  </si>
  <si>
    <t>实际页数
(仅文档类填写)</t>
  </si>
  <si>
    <t>相控阵数字样机软件研制任务书</t>
  </si>
  <si>
    <t>ZDPX03046/0.0-YZRW</t>
  </si>
  <si>
    <t>V1.0</t>
  </si>
  <si>
    <t>相控阵数字样机软件外包产品技术协议</t>
  </si>
  <si>
    <t>ZDPX03046/0.0-JSXY</t>
  </si>
  <si>
    <t>相控阵数字样机软件开发计划</t>
  </si>
  <si>
    <t>ZDPX03046/0.0-KFJH</t>
  </si>
  <si>
    <t>相控阵数字样机软件测量分析计划</t>
  </si>
  <si>
    <t>ZDPX03046/0.0-CLJH</t>
  </si>
  <si>
    <t>相控阵数字样机软件质量保证计划</t>
  </si>
  <si>
    <t>ZDPX03046/0.0-ZBJH</t>
  </si>
  <si>
    <t>相控阵数字样机软件配置管理计划</t>
  </si>
  <si>
    <t>ZDPX03046/0.0-PGJH</t>
  </si>
  <si>
    <t>相控阵数字样机软件需求规格说明</t>
  </si>
  <si>
    <t>ZDPX03046/0.0-RJXG</t>
  </si>
  <si>
    <t>相控阵数字样机软件设计说明</t>
  </si>
  <si>
    <t>ZDPX03046/0.0-RJSJ</t>
  </si>
  <si>
    <t>相控阵数字样机软件接口设计说明</t>
  </si>
  <si>
    <t>ZDPX03046/0.0-RJJK</t>
  </si>
  <si>
    <t>相控阵数字样机软件单元测试计划</t>
  </si>
  <si>
    <t>ZDPX03046/0.0-DCJH</t>
  </si>
  <si>
    <t>相控阵数字样机软件单元测试报告</t>
  </si>
  <si>
    <t>ZDPX03046/0.0-DCBG</t>
  </si>
  <si>
    <t>相控阵数字样机软件用户手册</t>
  </si>
  <si>
    <t>ZDPX03046/0.0-RJSC</t>
  </si>
  <si>
    <t>相控阵数字样机软件测试计划</t>
  </si>
  <si>
    <t>ZDPX03046/0.0-HCJH</t>
  </si>
  <si>
    <t>相控阵数字样机软件测试说明</t>
  </si>
  <si>
    <t>ZDPX03046/0.0-HCSM</t>
  </si>
  <si>
    <t>相控阵数字样机软件测试报告</t>
  </si>
  <si>
    <t>ZDPX03046/0.0-HCBG</t>
  </si>
  <si>
    <t>相控阵数字样机软件研制总结报告</t>
  </si>
  <si>
    <t>ZDPX03046/0.0-YZBG</t>
  </si>
  <si>
    <t>相控阵数字样机软件源代码</t>
  </si>
  <si>
    <t>ZDPX03046/0.0-SRC</t>
  </si>
  <si>
    <t>V0.0.3</t>
  </si>
  <si>
    <t>V0.0.4</t>
  </si>
  <si>
    <t>V1.0.0</t>
  </si>
  <si>
    <t>V2.0.0</t>
  </si>
  <si>
    <t>V3.0.0</t>
  </si>
  <si>
    <t>相控阵数字样机软件可执行程序</t>
  </si>
  <si>
    <t>ZDPX03046/0.0-EXE</t>
  </si>
  <si>
    <t>基线名称</t>
  </si>
  <si>
    <t>基线标识</t>
  </si>
  <si>
    <t>基线版本</t>
  </si>
  <si>
    <t>包含配置项名称</t>
  </si>
  <si>
    <t>配置项版本</t>
  </si>
  <si>
    <t>功能基线</t>
  </si>
  <si>
    <t>ZDPX-03046/0.0-BL-GN</t>
  </si>
  <si>
    <t>分配基线</t>
  </si>
  <si>
    <t>ZDPX-03046/0.0-BL-FP</t>
  </si>
  <si>
    <t>产品基线</t>
  </si>
  <si>
    <t>ZDPX-03046/0.0-BL-CP</t>
  </si>
  <si>
    <t>入所产品基线</t>
  </si>
  <si>
    <t>ZDPX-03046/0.0-BL-RSCP</t>
  </si>
  <si>
    <t>模块序号</t>
  </si>
  <si>
    <t>模块名称</t>
  </si>
  <si>
    <t>实际行数(LOC)</t>
  </si>
  <si>
    <t>高蕾</t>
  </si>
  <si>
    <t>高蕾</t>
    <phoneticPr fontId="1" type="noConversion"/>
  </si>
  <si>
    <t>相控阵数字样机软件</t>
    <phoneticPr fontId="1" type="noConversion"/>
  </si>
  <si>
    <t>03046</t>
    <phoneticPr fontId="1" type="noConversion"/>
  </si>
  <si>
    <t>赵要浦</t>
    <phoneticPr fontId="1" type="noConversion"/>
  </si>
  <si>
    <t>方小娟</t>
    <phoneticPr fontId="1" type="noConversion"/>
  </si>
  <si>
    <t>刁鹏</t>
  </si>
  <si>
    <t>刁鹏</t>
    <phoneticPr fontId="1" type="noConversion"/>
  </si>
  <si>
    <t>时起志</t>
  </si>
  <si>
    <t>时起志</t>
    <phoneticPr fontId="1" type="noConversion"/>
  </si>
  <si>
    <t>邢阳</t>
    <phoneticPr fontId="1" type="noConversion"/>
  </si>
  <si>
    <t>刁鹏,方小娟,高蕾,时起志,赵要浦,吴丹</t>
    <phoneticPr fontId="1" type="noConversion"/>
  </si>
  <si>
    <t>刁鹏,方小娟,高蕾,哈金,时起志,赵要浦</t>
  </si>
  <si>
    <t>方小娟,高蕾,哈金,刘喻,赵要浦,刁鹏,时起志</t>
    <phoneticPr fontId="7" type="noConversion"/>
  </si>
  <si>
    <t>赵要浦,方小娟,哈金,刘喻,刘乾勇</t>
  </si>
  <si>
    <t>刁鹏,方小娟,高蕾,时起志,赵要浦,吴丹</t>
    <phoneticPr fontId="7" type="noConversion"/>
  </si>
  <si>
    <t>方小娟,高蕾,哈金,时起志,赵要浦,刁鹏</t>
  </si>
  <si>
    <t>吴丹</t>
  </si>
  <si>
    <t>刁鹏,方小娟,高蕾,哈金,刘喻,时起志,吴丹,赵要浦</t>
  </si>
  <si>
    <t>高蕾,哈金,时起志,吴丹,赵要浦</t>
  </si>
  <si>
    <t>高蕾,时起志,吴丹,赵要浦</t>
  </si>
  <si>
    <t>刁鹏,方小娟,高蕾,时起志,吴丹,赵要浦</t>
  </si>
  <si>
    <t>刁鹏,时起志</t>
  </si>
  <si>
    <t>刁鹏,高蕾,时起志,赵要浦</t>
  </si>
  <si>
    <t>刁鹏,时起志,赵要浦</t>
  </si>
  <si>
    <t>刘喻</t>
  </si>
  <si>
    <t>高蕾,哈金,刘喻,吴丹,赵要浦,刘乾勇</t>
  </si>
  <si>
    <t>方小娟,高蕾,吴丹,赵要浦</t>
  </si>
  <si>
    <t>文档</t>
    <phoneticPr fontId="1" type="noConversion"/>
  </si>
  <si>
    <t>代码</t>
    <phoneticPr fontId="1" type="noConversion"/>
  </si>
  <si>
    <t>阵列显示模块</t>
    <phoneticPr fontId="1" type="noConversion"/>
  </si>
  <si>
    <t>算子参数配置模块</t>
    <phoneticPr fontId="1" type="noConversion"/>
  </si>
  <si>
    <t>阵列流程执行模块</t>
    <phoneticPr fontId="1" type="noConversion"/>
  </si>
  <si>
    <t>流程结果显示模块</t>
    <phoneticPr fontId="1" type="noConversion"/>
  </si>
  <si>
    <t>4.2.1.1</t>
    <phoneticPr fontId="1" type="noConversion"/>
  </si>
  <si>
    <t>4.2.1.2</t>
    <phoneticPr fontId="1" type="noConversion"/>
  </si>
  <si>
    <t>4.2.1.3</t>
    <phoneticPr fontId="1" type="noConversion"/>
  </si>
  <si>
    <t>4.2.1.4</t>
    <phoneticPr fontId="1" type="noConversion"/>
  </si>
  <si>
    <t>刁鹏,时起志,赵要浦</t>
    <phoneticPr fontId="1" type="noConversion"/>
  </si>
  <si>
    <t>刁鹏,赵要浦</t>
    <phoneticPr fontId="1" type="noConversion"/>
  </si>
  <si>
    <t>刁鹏,时起志</t>
    <phoneticPr fontId="1" type="noConversion"/>
  </si>
  <si>
    <t>所属阶段WBS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</si>
</sst>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1F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14" fontId="3" fillId="2" borderId="4" xfId="0" applyNumberFormat="1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4" xfId="0" applyNumberFormat="1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14" fontId="5" fillId="2" borderId="4" xfId="0" applyNumberFormat="1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right" vertical="center" wrapText="1"/>
    </xf>
    <xf numFmtId="176" fontId="4" fillId="2" borderId="4" xfId="0" applyNumberFormat="1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B1" workbookViewId="0">
      <selection activeCell="P14" sqref="P14"/>
    </sheetView>
  </sheetViews>
  <sheetFormatPr baseColWidth="10" defaultRowHeight="16"/>
  <cols>
    <col min="1" max="1" width="27.1640625" style="8" customWidth="1"/>
    <col min="2" max="2" width="17.6640625" style="8" customWidth="1"/>
    <col min="3" max="3" width="18" style="8" customWidth="1"/>
    <col min="4" max="4" width="19.83203125" style="8" customWidth="1"/>
    <col min="5" max="18" width="10.83203125" style="6"/>
    <col min="19" max="19" width="24" style="8" customWidth="1"/>
    <col min="20" max="16384" width="10.83203125" style="6"/>
  </cols>
  <sheetData>
    <row r="1" spans="1:19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34">
      <c r="A2" s="7" t="s">
        <v>363</v>
      </c>
      <c r="B2" s="7" t="s">
        <v>364</v>
      </c>
      <c r="C2" s="7" t="s">
        <v>365</v>
      </c>
      <c r="D2" s="7" t="s">
        <v>366</v>
      </c>
      <c r="E2" s="7" t="s">
        <v>362</v>
      </c>
      <c r="F2" s="7">
        <v>1</v>
      </c>
      <c r="G2" s="7" t="s">
        <v>365</v>
      </c>
      <c r="H2" s="7" t="s">
        <v>366</v>
      </c>
      <c r="I2" s="7" t="s">
        <v>368</v>
      </c>
      <c r="J2" s="7" t="s">
        <v>362</v>
      </c>
      <c r="K2" s="7" t="s">
        <v>365</v>
      </c>
      <c r="L2" s="7" t="s">
        <v>368</v>
      </c>
      <c r="M2" s="7" t="s">
        <v>370</v>
      </c>
      <c r="N2" s="7" t="s">
        <v>371</v>
      </c>
      <c r="O2" s="7" t="s">
        <v>366</v>
      </c>
      <c r="P2" s="7" t="s">
        <v>362</v>
      </c>
      <c r="Q2" s="7" t="s">
        <v>365</v>
      </c>
      <c r="R2" s="7" t="s">
        <v>365</v>
      </c>
      <c r="S2" s="7" t="s">
        <v>372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zoomScale="109" workbookViewId="0">
      <pane ySplit="1" topLeftCell="A150" activePane="bottomLeft" state="frozen"/>
      <selection pane="bottomLeft" activeCell="E141" sqref="E141"/>
    </sheetView>
  </sheetViews>
  <sheetFormatPr baseColWidth="10" defaultRowHeight="16"/>
  <cols>
    <col min="1" max="1" width="10.83203125" style="11" customWidth="1"/>
    <col min="2" max="2" width="21.5" style="8" customWidth="1"/>
    <col min="3" max="3" width="17.83203125" style="8" customWidth="1"/>
    <col min="4" max="4" width="20.6640625" style="8" customWidth="1"/>
    <col min="5" max="5" width="24.5" style="8" customWidth="1"/>
    <col min="6" max="6" width="10.83203125" style="33"/>
    <col min="7" max="7" width="10.83203125" style="6"/>
    <col min="8" max="8" width="22" style="8" customWidth="1"/>
    <col min="9" max="16384" width="10.83203125" style="6"/>
  </cols>
  <sheetData>
    <row r="1" spans="1:8" s="9" customFormat="1" ht="34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23" t="s">
        <v>26</v>
      </c>
      <c r="G1" s="27" t="s">
        <v>27</v>
      </c>
      <c r="H1" s="24" t="s">
        <v>28</v>
      </c>
    </row>
    <row r="2" spans="1:8" s="10" customFormat="1">
      <c r="A2" s="13">
        <v>1</v>
      </c>
      <c r="B2" s="14" t="s">
        <v>29</v>
      </c>
      <c r="C2" s="15">
        <v>46006</v>
      </c>
      <c r="D2" s="15">
        <v>46017</v>
      </c>
      <c r="E2" s="16"/>
      <c r="F2" s="30">
        <v>10</v>
      </c>
      <c r="G2" s="28">
        <v>57</v>
      </c>
      <c r="H2" s="25"/>
    </row>
    <row r="3" spans="1:8" s="10" customFormat="1">
      <c r="A3" s="13">
        <v>1.1000000000000001</v>
      </c>
      <c r="B3" s="14" t="s">
        <v>30</v>
      </c>
      <c r="C3" s="15">
        <v>46008</v>
      </c>
      <c r="D3" s="15">
        <v>46014</v>
      </c>
      <c r="E3" s="16"/>
      <c r="F3" s="30">
        <v>5</v>
      </c>
      <c r="G3" s="28">
        <v>32</v>
      </c>
      <c r="H3" s="25"/>
    </row>
    <row r="4" spans="1:8">
      <c r="A4" s="17" t="s">
        <v>31</v>
      </c>
      <c r="B4" s="18" t="s">
        <v>32</v>
      </c>
      <c r="C4" s="19">
        <v>46008</v>
      </c>
      <c r="D4" s="19">
        <v>46008</v>
      </c>
      <c r="E4" s="20"/>
      <c r="F4" s="31">
        <v>1</v>
      </c>
      <c r="G4" s="29">
        <v>4</v>
      </c>
      <c r="H4" s="26" t="s">
        <v>19</v>
      </c>
    </row>
    <row r="5" spans="1:8" ht="30">
      <c r="A5" s="17" t="s">
        <v>33</v>
      </c>
      <c r="B5" s="18" t="s">
        <v>34</v>
      </c>
      <c r="C5" s="19">
        <v>46009</v>
      </c>
      <c r="D5" s="19">
        <v>46009</v>
      </c>
      <c r="E5" s="20"/>
      <c r="F5" s="31">
        <v>1</v>
      </c>
      <c r="G5" s="29">
        <v>10</v>
      </c>
      <c r="H5" s="26" t="s">
        <v>373</v>
      </c>
    </row>
    <row r="6" spans="1:8" s="10" customFormat="1">
      <c r="A6" s="17" t="s">
        <v>35</v>
      </c>
      <c r="B6" s="18" t="s">
        <v>36</v>
      </c>
      <c r="C6" s="19">
        <v>46010</v>
      </c>
      <c r="D6" s="19">
        <v>46014</v>
      </c>
      <c r="E6" s="16"/>
      <c r="F6" s="31">
        <v>3</v>
      </c>
      <c r="G6" s="29">
        <v>18</v>
      </c>
      <c r="H6" s="26" t="s">
        <v>19</v>
      </c>
    </row>
    <row r="7" spans="1:8">
      <c r="A7" s="13">
        <v>1.2</v>
      </c>
      <c r="B7" s="14" t="s">
        <v>37</v>
      </c>
      <c r="C7" s="15">
        <v>46016</v>
      </c>
      <c r="D7" s="15">
        <v>46016</v>
      </c>
      <c r="E7" s="20"/>
      <c r="F7" s="30">
        <v>1</v>
      </c>
      <c r="G7" s="28">
        <v>10</v>
      </c>
      <c r="H7" s="25"/>
    </row>
    <row r="8" spans="1:8" ht="30">
      <c r="A8" s="17" t="s">
        <v>38</v>
      </c>
      <c r="B8" s="18" t="s">
        <v>39</v>
      </c>
      <c r="C8" s="19">
        <v>46016</v>
      </c>
      <c r="D8" s="19">
        <v>46016</v>
      </c>
      <c r="E8" s="20"/>
      <c r="F8" s="31">
        <v>1</v>
      </c>
      <c r="G8" s="29">
        <v>10</v>
      </c>
      <c r="H8" s="26" t="s">
        <v>374</v>
      </c>
    </row>
    <row r="9" spans="1:8" s="10" customFormat="1">
      <c r="A9" s="13">
        <v>1.3</v>
      </c>
      <c r="B9" s="14" t="s">
        <v>40</v>
      </c>
      <c r="C9" s="15">
        <v>46006</v>
      </c>
      <c r="D9" s="15">
        <v>46017</v>
      </c>
      <c r="E9" s="16"/>
      <c r="F9" s="30">
        <v>10</v>
      </c>
      <c r="G9" s="28">
        <v>8</v>
      </c>
      <c r="H9" s="25"/>
    </row>
    <row r="10" spans="1:8" ht="30">
      <c r="A10" s="17" t="s">
        <v>41</v>
      </c>
      <c r="B10" s="18" t="s">
        <v>42</v>
      </c>
      <c r="C10" s="19">
        <v>46006</v>
      </c>
      <c r="D10" s="19">
        <v>46006</v>
      </c>
      <c r="E10" s="20"/>
      <c r="F10" s="31">
        <v>1</v>
      </c>
      <c r="G10" s="29">
        <v>2</v>
      </c>
      <c r="H10" s="26" t="s">
        <v>375</v>
      </c>
    </row>
    <row r="11" spans="1:8" ht="30">
      <c r="A11" s="17" t="s">
        <v>43</v>
      </c>
      <c r="B11" s="18" t="s">
        <v>44</v>
      </c>
      <c r="C11" s="19">
        <v>46017</v>
      </c>
      <c r="D11" s="19">
        <v>46017</v>
      </c>
      <c r="E11" s="20"/>
      <c r="F11" s="31">
        <v>1</v>
      </c>
      <c r="G11" s="29">
        <v>6</v>
      </c>
      <c r="H11" s="26" t="s">
        <v>376</v>
      </c>
    </row>
    <row r="12" spans="1:8">
      <c r="A12" s="13">
        <v>1.4</v>
      </c>
      <c r="B12" s="14" t="s">
        <v>45</v>
      </c>
      <c r="C12" s="15">
        <v>46017</v>
      </c>
      <c r="D12" s="15">
        <v>46017</v>
      </c>
      <c r="E12" s="20"/>
      <c r="F12" s="30">
        <v>1</v>
      </c>
      <c r="G12" s="28">
        <v>2</v>
      </c>
      <c r="H12" s="25"/>
    </row>
    <row r="13" spans="1:8" ht="34">
      <c r="A13" s="17" t="s">
        <v>46</v>
      </c>
      <c r="B13" s="18" t="s">
        <v>47</v>
      </c>
      <c r="C13" s="19">
        <v>46017</v>
      </c>
      <c r="D13" s="19">
        <v>46017</v>
      </c>
      <c r="E13" s="21" t="str">
        <f>配置项清单!B2</f>
        <v>相控阵数字样机软件研制任务书</v>
      </c>
      <c r="F13" s="31">
        <v>1</v>
      </c>
      <c r="G13" s="29">
        <v>0.5</v>
      </c>
      <c r="H13" s="26" t="s">
        <v>20</v>
      </c>
    </row>
    <row r="14" spans="1:8">
      <c r="A14" s="17" t="s">
        <v>48</v>
      </c>
      <c r="B14" s="18" t="s">
        <v>49</v>
      </c>
      <c r="C14" s="19">
        <v>46017</v>
      </c>
      <c r="D14" s="19">
        <v>46017</v>
      </c>
      <c r="E14" s="20"/>
      <c r="F14" s="31">
        <v>1</v>
      </c>
      <c r="G14" s="29">
        <v>0.5</v>
      </c>
      <c r="H14" s="26" t="s">
        <v>20</v>
      </c>
    </row>
    <row r="15" spans="1:8" s="10" customFormat="1">
      <c r="A15" s="17" t="s">
        <v>50</v>
      </c>
      <c r="B15" s="18" t="s">
        <v>51</v>
      </c>
      <c r="C15" s="19">
        <v>46017</v>
      </c>
      <c r="D15" s="19">
        <v>46017</v>
      </c>
      <c r="E15" s="16"/>
      <c r="F15" s="31">
        <v>1</v>
      </c>
      <c r="G15" s="29">
        <v>0.5</v>
      </c>
      <c r="H15" s="26" t="s">
        <v>20</v>
      </c>
    </row>
    <row r="16" spans="1:8" s="10" customFormat="1">
      <c r="A16" s="17" t="s">
        <v>52</v>
      </c>
      <c r="B16" s="18" t="s">
        <v>53</v>
      </c>
      <c r="C16" s="19">
        <v>46017</v>
      </c>
      <c r="D16" s="19">
        <v>46017</v>
      </c>
      <c r="E16" s="16"/>
      <c r="F16" s="31">
        <v>1</v>
      </c>
      <c r="G16" s="29">
        <v>0.5</v>
      </c>
      <c r="H16" s="26" t="s">
        <v>20</v>
      </c>
    </row>
    <row r="17" spans="1:8">
      <c r="A17" s="13">
        <v>1.5</v>
      </c>
      <c r="B17" s="14" t="s">
        <v>54</v>
      </c>
      <c r="C17" s="15">
        <v>46015</v>
      </c>
      <c r="D17" s="15">
        <v>46017</v>
      </c>
      <c r="E17" s="20"/>
      <c r="F17" s="30">
        <v>3</v>
      </c>
      <c r="G17" s="28">
        <v>4</v>
      </c>
      <c r="H17" s="25"/>
    </row>
    <row r="18" spans="1:8">
      <c r="A18" s="17" t="s">
        <v>55</v>
      </c>
      <c r="B18" s="18" t="s">
        <v>56</v>
      </c>
      <c r="C18" s="19">
        <v>46015</v>
      </c>
      <c r="D18" s="19">
        <v>46015</v>
      </c>
      <c r="E18" s="20"/>
      <c r="F18" s="31">
        <v>1</v>
      </c>
      <c r="G18" s="29">
        <v>2</v>
      </c>
      <c r="H18" s="26" t="s">
        <v>361</v>
      </c>
    </row>
    <row r="19" spans="1:8">
      <c r="A19" s="17" t="s">
        <v>57</v>
      </c>
      <c r="B19" s="18" t="s">
        <v>58</v>
      </c>
      <c r="C19" s="19">
        <v>46016</v>
      </c>
      <c r="D19" s="19">
        <v>46016</v>
      </c>
      <c r="E19" s="20"/>
      <c r="F19" s="31">
        <v>1</v>
      </c>
      <c r="G19" s="29">
        <v>0.5</v>
      </c>
      <c r="H19" s="26" t="s">
        <v>361</v>
      </c>
    </row>
    <row r="20" spans="1:8" s="10" customFormat="1" ht="30">
      <c r="A20" s="17" t="s">
        <v>59</v>
      </c>
      <c r="B20" s="18" t="s">
        <v>60</v>
      </c>
      <c r="C20" s="19">
        <v>46016</v>
      </c>
      <c r="D20" s="19">
        <v>46016</v>
      </c>
      <c r="E20" s="16"/>
      <c r="F20" s="31">
        <v>1</v>
      </c>
      <c r="G20" s="29">
        <v>0.5</v>
      </c>
      <c r="H20" s="26" t="s">
        <v>361</v>
      </c>
    </row>
    <row r="21" spans="1:8">
      <c r="A21" s="17" t="s">
        <v>61</v>
      </c>
      <c r="B21" s="18" t="s">
        <v>62</v>
      </c>
      <c r="C21" s="19">
        <v>46017</v>
      </c>
      <c r="D21" s="19">
        <v>46017</v>
      </c>
      <c r="E21" s="20"/>
      <c r="F21" s="31">
        <v>1</v>
      </c>
      <c r="G21" s="29">
        <v>0.5</v>
      </c>
      <c r="H21" s="26" t="s">
        <v>361</v>
      </c>
    </row>
    <row r="22" spans="1:8">
      <c r="A22" s="17" t="s">
        <v>63</v>
      </c>
      <c r="B22" s="18" t="s">
        <v>64</v>
      </c>
      <c r="C22" s="19">
        <v>46017</v>
      </c>
      <c r="D22" s="19">
        <v>46017</v>
      </c>
      <c r="E22" s="20"/>
      <c r="F22" s="31">
        <v>1</v>
      </c>
      <c r="G22" s="29">
        <v>0.5</v>
      </c>
      <c r="H22" s="26" t="s">
        <v>361</v>
      </c>
    </row>
    <row r="23" spans="1:8">
      <c r="A23" s="13">
        <v>1.6</v>
      </c>
      <c r="B23" s="14" t="s">
        <v>65</v>
      </c>
      <c r="C23" s="15">
        <v>46016</v>
      </c>
      <c r="D23" s="15">
        <v>46016</v>
      </c>
      <c r="E23" s="20"/>
      <c r="F23" s="30">
        <v>1</v>
      </c>
      <c r="G23" s="28">
        <v>1</v>
      </c>
      <c r="H23" s="25"/>
    </row>
    <row r="24" spans="1:8" ht="30">
      <c r="A24" s="17" t="s">
        <v>66</v>
      </c>
      <c r="B24" s="18" t="s">
        <v>67</v>
      </c>
      <c r="C24" s="19">
        <v>46016</v>
      </c>
      <c r="D24" s="19">
        <v>46016</v>
      </c>
      <c r="E24" s="20"/>
      <c r="F24" s="31">
        <v>1</v>
      </c>
      <c r="G24" s="29">
        <v>1</v>
      </c>
      <c r="H24" s="26" t="s">
        <v>19</v>
      </c>
    </row>
    <row r="25" spans="1:8">
      <c r="A25" s="13">
        <v>2</v>
      </c>
      <c r="B25" s="14" t="s">
        <v>68</v>
      </c>
      <c r="C25" s="15">
        <v>46020</v>
      </c>
      <c r="D25" s="15">
        <v>46045</v>
      </c>
      <c r="E25" s="20"/>
      <c r="F25" s="30">
        <v>19</v>
      </c>
      <c r="G25" s="28">
        <v>139.5</v>
      </c>
      <c r="H25" s="25"/>
    </row>
    <row r="26" spans="1:8">
      <c r="A26" s="13">
        <v>2.1</v>
      </c>
      <c r="B26" s="14" t="s">
        <v>69</v>
      </c>
      <c r="C26" s="15">
        <v>46020</v>
      </c>
      <c r="D26" s="15">
        <v>46027</v>
      </c>
      <c r="E26" s="20"/>
      <c r="F26" s="30">
        <v>5</v>
      </c>
      <c r="G26" s="28">
        <v>53</v>
      </c>
      <c r="H26" s="25"/>
    </row>
    <row r="27" spans="1:8" ht="30">
      <c r="A27" s="17" t="s">
        <v>70</v>
      </c>
      <c r="B27" s="18" t="s">
        <v>71</v>
      </c>
      <c r="C27" s="19">
        <v>46020</v>
      </c>
      <c r="D27" s="19">
        <v>46020</v>
      </c>
      <c r="E27" s="20"/>
      <c r="F27" s="31">
        <v>1</v>
      </c>
      <c r="G27" s="29">
        <v>5</v>
      </c>
      <c r="H27" s="26" t="s">
        <v>373</v>
      </c>
    </row>
    <row r="28" spans="1:8" ht="30">
      <c r="A28" s="17" t="s">
        <v>72</v>
      </c>
      <c r="B28" s="18" t="s">
        <v>73</v>
      </c>
      <c r="C28" s="19">
        <v>46021</v>
      </c>
      <c r="D28" s="19">
        <v>46027</v>
      </c>
      <c r="E28" s="20"/>
      <c r="F28" s="31">
        <v>4</v>
      </c>
      <c r="G28" s="29">
        <v>30</v>
      </c>
      <c r="H28" s="26" t="s">
        <v>377</v>
      </c>
    </row>
    <row r="29" spans="1:8">
      <c r="A29" s="17" t="s">
        <v>74</v>
      </c>
      <c r="B29" s="18" t="s">
        <v>75</v>
      </c>
      <c r="C29" s="19">
        <v>46021</v>
      </c>
      <c r="D29" s="19">
        <v>46022</v>
      </c>
      <c r="E29" s="20"/>
      <c r="F29" s="31">
        <v>2</v>
      </c>
      <c r="G29" s="29">
        <v>6</v>
      </c>
      <c r="H29" s="26" t="s">
        <v>19</v>
      </c>
    </row>
    <row r="30" spans="1:8">
      <c r="A30" s="17" t="s">
        <v>76</v>
      </c>
      <c r="B30" s="18" t="s">
        <v>77</v>
      </c>
      <c r="C30" s="19">
        <v>46021</v>
      </c>
      <c r="D30" s="19">
        <v>46021</v>
      </c>
      <c r="E30" s="20"/>
      <c r="F30" s="31">
        <v>1</v>
      </c>
      <c r="G30" s="29">
        <v>6</v>
      </c>
      <c r="H30" s="26" t="s">
        <v>361</v>
      </c>
    </row>
    <row r="31" spans="1:8">
      <c r="A31" s="17" t="s">
        <v>78</v>
      </c>
      <c r="B31" s="18" t="s">
        <v>79</v>
      </c>
      <c r="C31" s="19">
        <v>46021</v>
      </c>
      <c r="D31" s="19">
        <v>46021</v>
      </c>
      <c r="E31" s="20"/>
      <c r="F31" s="31">
        <v>1</v>
      </c>
      <c r="G31" s="29">
        <v>6</v>
      </c>
      <c r="H31" s="26" t="s">
        <v>20</v>
      </c>
    </row>
    <row r="32" spans="1:8">
      <c r="A32" s="13">
        <v>2.2000000000000002</v>
      </c>
      <c r="B32" s="14" t="s">
        <v>30</v>
      </c>
      <c r="C32" s="15">
        <v>46030</v>
      </c>
      <c r="D32" s="15">
        <v>46042</v>
      </c>
      <c r="E32" s="20"/>
      <c r="F32" s="30">
        <v>9</v>
      </c>
      <c r="G32" s="28">
        <v>36</v>
      </c>
      <c r="H32" s="25"/>
    </row>
    <row r="33" spans="1:8">
      <c r="A33" s="17" t="s">
        <v>80</v>
      </c>
      <c r="B33" s="18" t="s">
        <v>81</v>
      </c>
      <c r="C33" s="19">
        <v>46030</v>
      </c>
      <c r="D33" s="19">
        <v>46036</v>
      </c>
      <c r="E33" s="20"/>
      <c r="F33" s="31">
        <v>5</v>
      </c>
      <c r="G33" s="29">
        <v>30</v>
      </c>
      <c r="H33" s="26" t="s">
        <v>19</v>
      </c>
    </row>
    <row r="34" spans="1:8">
      <c r="A34" s="17" t="s">
        <v>82</v>
      </c>
      <c r="B34" s="18" t="s">
        <v>83</v>
      </c>
      <c r="C34" s="19">
        <v>46042</v>
      </c>
      <c r="D34" s="19">
        <v>46042</v>
      </c>
      <c r="E34" s="20"/>
      <c r="F34" s="31">
        <v>1</v>
      </c>
      <c r="G34" s="29">
        <v>6</v>
      </c>
      <c r="H34" s="26" t="s">
        <v>378</v>
      </c>
    </row>
    <row r="35" spans="1:8">
      <c r="A35" s="13">
        <v>2.2999999999999998</v>
      </c>
      <c r="B35" s="14" t="s">
        <v>37</v>
      </c>
      <c r="C35" s="15">
        <v>46029</v>
      </c>
      <c r="D35" s="15">
        <v>46044</v>
      </c>
      <c r="E35" s="20"/>
      <c r="F35" s="30">
        <v>12</v>
      </c>
      <c r="G35" s="28">
        <v>22</v>
      </c>
      <c r="H35" s="25"/>
    </row>
    <row r="36" spans="1:8" ht="30">
      <c r="A36" s="17" t="s">
        <v>84</v>
      </c>
      <c r="B36" s="18" t="s">
        <v>85</v>
      </c>
      <c r="C36" s="19">
        <v>46029</v>
      </c>
      <c r="D36" s="19">
        <v>46029</v>
      </c>
      <c r="E36" s="20"/>
      <c r="F36" s="31">
        <v>1</v>
      </c>
      <c r="G36" s="29">
        <v>12</v>
      </c>
      <c r="H36" s="26" t="s">
        <v>379</v>
      </c>
    </row>
    <row r="37" spans="1:8" ht="30">
      <c r="A37" s="17" t="s">
        <v>86</v>
      </c>
      <c r="B37" s="18" t="s">
        <v>87</v>
      </c>
      <c r="C37" s="19">
        <v>46041</v>
      </c>
      <c r="D37" s="19">
        <v>46041</v>
      </c>
      <c r="E37" s="20"/>
      <c r="F37" s="31">
        <v>1</v>
      </c>
      <c r="G37" s="29">
        <v>8</v>
      </c>
      <c r="H37" s="26" t="s">
        <v>380</v>
      </c>
    </row>
    <row r="38" spans="1:8">
      <c r="A38" s="17" t="s">
        <v>88</v>
      </c>
      <c r="B38" s="18" t="s">
        <v>89</v>
      </c>
      <c r="C38" s="19">
        <v>46044</v>
      </c>
      <c r="D38" s="19">
        <v>46044</v>
      </c>
      <c r="E38" s="20"/>
      <c r="F38" s="31">
        <v>1</v>
      </c>
      <c r="G38" s="29">
        <v>2</v>
      </c>
      <c r="H38" s="26" t="s">
        <v>381</v>
      </c>
    </row>
    <row r="39" spans="1:8">
      <c r="A39" s="13">
        <v>2.4</v>
      </c>
      <c r="B39" s="14" t="s">
        <v>40</v>
      </c>
      <c r="C39" s="15">
        <v>46034</v>
      </c>
      <c r="D39" s="15">
        <v>46045</v>
      </c>
      <c r="E39" s="20"/>
      <c r="F39" s="30">
        <v>10</v>
      </c>
      <c r="G39" s="28">
        <v>14</v>
      </c>
      <c r="H39" s="25"/>
    </row>
    <row r="40" spans="1:8">
      <c r="A40" s="17" t="s">
        <v>90</v>
      </c>
      <c r="B40" s="18" t="s">
        <v>91</v>
      </c>
      <c r="C40" s="19">
        <v>46034</v>
      </c>
      <c r="D40" s="19">
        <v>46034</v>
      </c>
      <c r="E40" s="20"/>
      <c r="F40" s="31">
        <v>1</v>
      </c>
      <c r="G40" s="29">
        <v>1</v>
      </c>
      <c r="H40" s="26" t="s">
        <v>19</v>
      </c>
    </row>
    <row r="41" spans="1:8" ht="30">
      <c r="A41" s="17" t="s">
        <v>92</v>
      </c>
      <c r="B41" s="18" t="s">
        <v>93</v>
      </c>
      <c r="C41" s="19">
        <v>46034</v>
      </c>
      <c r="D41" s="19">
        <v>46034</v>
      </c>
      <c r="E41" s="20"/>
      <c r="F41" s="31">
        <v>1</v>
      </c>
      <c r="G41" s="29">
        <v>6</v>
      </c>
      <c r="H41" s="26" t="s">
        <v>382</v>
      </c>
    </row>
    <row r="42" spans="1:8">
      <c r="A42" s="17" t="s">
        <v>94</v>
      </c>
      <c r="B42" s="18" t="s">
        <v>95</v>
      </c>
      <c r="C42" s="19">
        <v>46045</v>
      </c>
      <c r="D42" s="19">
        <v>46045</v>
      </c>
      <c r="E42" s="20"/>
      <c r="F42" s="31">
        <v>1</v>
      </c>
      <c r="G42" s="29">
        <v>1</v>
      </c>
      <c r="H42" s="26" t="s">
        <v>19</v>
      </c>
    </row>
    <row r="43" spans="1:8" ht="30">
      <c r="A43" s="17" t="s">
        <v>96</v>
      </c>
      <c r="B43" s="18" t="s">
        <v>44</v>
      </c>
      <c r="C43" s="19">
        <v>46045</v>
      </c>
      <c r="D43" s="19">
        <v>46045</v>
      </c>
      <c r="E43" s="20"/>
      <c r="F43" s="31">
        <v>1</v>
      </c>
      <c r="G43" s="29">
        <v>6</v>
      </c>
      <c r="H43" s="26" t="s">
        <v>382</v>
      </c>
    </row>
    <row r="44" spans="1:8">
      <c r="A44" s="13">
        <v>2.5</v>
      </c>
      <c r="B44" s="14" t="s">
        <v>45</v>
      </c>
      <c r="C44" s="15">
        <v>46030</v>
      </c>
      <c r="D44" s="15">
        <v>46044</v>
      </c>
      <c r="E44" s="20"/>
      <c r="F44" s="30">
        <v>11</v>
      </c>
      <c r="G44" s="28">
        <v>3.5</v>
      </c>
      <c r="H44" s="25"/>
    </row>
    <row r="45" spans="1:8" ht="102">
      <c r="A45" s="17" t="s">
        <v>97</v>
      </c>
      <c r="B45" s="18" t="s">
        <v>98</v>
      </c>
      <c r="C45" s="19">
        <v>46030</v>
      </c>
      <c r="D45" s="19">
        <v>46030</v>
      </c>
      <c r="E45" s="21" t="str">
        <f>_xlfn.TEXTJOIN(",",TRUE,配置项清单!B4:'配置项清单'!B7)</f>
        <v>相控阵数字样机软件开发计划,相控阵数字样机软件测量分析计划,相控阵数字样机软件质量保证计划,相控阵数字样机软件配置管理计划</v>
      </c>
      <c r="F45" s="31">
        <v>1</v>
      </c>
      <c r="G45" s="29">
        <v>0.5</v>
      </c>
      <c r="H45" s="26" t="s">
        <v>20</v>
      </c>
    </row>
    <row r="46" spans="1:8" ht="34">
      <c r="A46" s="17" t="s">
        <v>99</v>
      </c>
      <c r="B46" s="18" t="s">
        <v>100</v>
      </c>
      <c r="C46" s="19">
        <v>46043</v>
      </c>
      <c r="D46" s="19">
        <v>46043</v>
      </c>
      <c r="E46" s="21" t="str">
        <f>配置项清单!B8</f>
        <v>相控阵数字样机软件需求规格说明</v>
      </c>
      <c r="F46" s="31">
        <v>1</v>
      </c>
      <c r="G46" s="29">
        <v>0.5</v>
      </c>
      <c r="H46" s="26" t="s">
        <v>20</v>
      </c>
    </row>
    <row r="47" spans="1:8" ht="34">
      <c r="A47" s="17" t="s">
        <v>101</v>
      </c>
      <c r="B47" s="18" t="s">
        <v>102</v>
      </c>
      <c r="C47" s="19">
        <v>46044</v>
      </c>
      <c r="D47" s="19">
        <v>46044</v>
      </c>
      <c r="E47" s="21" t="str">
        <f>配置项清单!B14</f>
        <v>相控阵数字样机软件测试计划</v>
      </c>
      <c r="F47" s="31">
        <v>1</v>
      </c>
      <c r="G47" s="29">
        <v>0.5</v>
      </c>
      <c r="H47" s="26" t="s">
        <v>20</v>
      </c>
    </row>
    <row r="48" spans="1:8">
      <c r="A48" s="17" t="s">
        <v>103</v>
      </c>
      <c r="B48" s="18" t="s">
        <v>104</v>
      </c>
      <c r="C48" s="19">
        <v>46043</v>
      </c>
      <c r="D48" s="19">
        <v>46043</v>
      </c>
      <c r="E48" s="20"/>
      <c r="F48" s="31">
        <v>1</v>
      </c>
      <c r="G48" s="29">
        <v>0.5</v>
      </c>
      <c r="H48" s="26" t="s">
        <v>20</v>
      </c>
    </row>
    <row r="49" spans="1:8">
      <c r="A49" s="17" t="s">
        <v>105</v>
      </c>
      <c r="B49" s="18" t="s">
        <v>106</v>
      </c>
      <c r="C49" s="19">
        <v>46044</v>
      </c>
      <c r="D49" s="19">
        <v>46044</v>
      </c>
      <c r="E49" s="20"/>
      <c r="F49" s="31">
        <v>1</v>
      </c>
      <c r="G49" s="29">
        <v>0.5</v>
      </c>
      <c r="H49" s="26" t="s">
        <v>20</v>
      </c>
    </row>
    <row r="50" spans="1:8">
      <c r="A50" s="17" t="s">
        <v>107</v>
      </c>
      <c r="B50" s="18" t="s">
        <v>53</v>
      </c>
      <c r="C50" s="19">
        <v>46044</v>
      </c>
      <c r="D50" s="19">
        <v>46044</v>
      </c>
      <c r="E50" s="20"/>
      <c r="F50" s="31">
        <v>1</v>
      </c>
      <c r="G50" s="29">
        <v>0.5</v>
      </c>
      <c r="H50" s="26" t="s">
        <v>20</v>
      </c>
    </row>
    <row r="51" spans="1:8" ht="34">
      <c r="A51" s="17" t="s">
        <v>108</v>
      </c>
      <c r="B51" s="18" t="s">
        <v>109</v>
      </c>
      <c r="C51" s="19">
        <v>46038</v>
      </c>
      <c r="D51" s="19">
        <v>46038</v>
      </c>
      <c r="E51" s="21" t="str">
        <f>配置项清单!B3</f>
        <v>相控阵数字样机软件外包产品技术协议</v>
      </c>
      <c r="F51" s="31">
        <v>1</v>
      </c>
      <c r="G51" s="29">
        <v>0.5</v>
      </c>
      <c r="H51" s="26" t="s">
        <v>20</v>
      </c>
    </row>
    <row r="52" spans="1:8">
      <c r="A52" s="13">
        <v>2.6</v>
      </c>
      <c r="B52" s="14" t="s">
        <v>54</v>
      </c>
      <c r="C52" s="15">
        <v>46028</v>
      </c>
      <c r="D52" s="15">
        <v>46045</v>
      </c>
      <c r="E52" s="20"/>
      <c r="F52" s="30">
        <v>14</v>
      </c>
      <c r="G52" s="28">
        <v>10</v>
      </c>
      <c r="H52" s="25"/>
    </row>
    <row r="53" spans="1:8">
      <c r="A53" s="17" t="s">
        <v>110</v>
      </c>
      <c r="B53" s="18" t="s">
        <v>111</v>
      </c>
      <c r="C53" s="19">
        <v>46030</v>
      </c>
      <c r="D53" s="19">
        <v>46030</v>
      </c>
      <c r="E53" s="20"/>
      <c r="F53" s="31">
        <v>1</v>
      </c>
      <c r="G53" s="29">
        <v>0.5</v>
      </c>
      <c r="H53" s="26" t="s">
        <v>361</v>
      </c>
    </row>
    <row r="54" spans="1:8">
      <c r="A54" s="17" t="s">
        <v>112</v>
      </c>
      <c r="B54" s="18" t="s">
        <v>113</v>
      </c>
      <c r="C54" s="19">
        <v>46045</v>
      </c>
      <c r="D54" s="19">
        <v>46045</v>
      </c>
      <c r="E54" s="20"/>
      <c r="F54" s="31">
        <v>1</v>
      </c>
      <c r="G54" s="29">
        <v>0.5</v>
      </c>
      <c r="H54" s="26" t="s">
        <v>361</v>
      </c>
    </row>
    <row r="55" spans="1:8">
      <c r="A55" s="17" t="s">
        <v>114</v>
      </c>
      <c r="B55" s="18" t="s">
        <v>115</v>
      </c>
      <c r="C55" s="19">
        <v>46045</v>
      </c>
      <c r="D55" s="19">
        <v>46045</v>
      </c>
      <c r="E55" s="20"/>
      <c r="F55" s="31">
        <v>1</v>
      </c>
      <c r="G55" s="29">
        <v>0.5</v>
      </c>
      <c r="H55" s="26" t="s">
        <v>361</v>
      </c>
    </row>
    <row r="56" spans="1:8">
      <c r="A56" s="17" t="s">
        <v>116</v>
      </c>
      <c r="B56" s="18" t="s">
        <v>117</v>
      </c>
      <c r="C56" s="19">
        <v>46045</v>
      </c>
      <c r="D56" s="19">
        <v>46045</v>
      </c>
      <c r="E56" s="20"/>
      <c r="F56" s="31">
        <v>1</v>
      </c>
      <c r="G56" s="29">
        <v>0.5</v>
      </c>
      <c r="H56" s="26" t="s">
        <v>361</v>
      </c>
    </row>
    <row r="57" spans="1:8">
      <c r="A57" s="17" t="s">
        <v>118</v>
      </c>
      <c r="B57" s="18" t="s">
        <v>119</v>
      </c>
      <c r="C57" s="19">
        <v>46034</v>
      </c>
      <c r="D57" s="19">
        <v>46034</v>
      </c>
      <c r="E57" s="20"/>
      <c r="F57" s="31">
        <v>1</v>
      </c>
      <c r="G57" s="29">
        <v>0.5</v>
      </c>
      <c r="H57" s="26" t="s">
        <v>361</v>
      </c>
    </row>
    <row r="58" spans="1:8" ht="30">
      <c r="A58" s="17" t="s">
        <v>120</v>
      </c>
      <c r="B58" s="18" t="s">
        <v>121</v>
      </c>
      <c r="C58" s="19">
        <v>46034</v>
      </c>
      <c r="D58" s="19">
        <v>46034</v>
      </c>
      <c r="E58" s="20"/>
      <c r="F58" s="31">
        <v>1</v>
      </c>
      <c r="G58" s="29">
        <v>0.5</v>
      </c>
      <c r="H58" s="26" t="s">
        <v>361</v>
      </c>
    </row>
    <row r="59" spans="1:8">
      <c r="A59" s="17" t="s">
        <v>122</v>
      </c>
      <c r="B59" s="18" t="s">
        <v>123</v>
      </c>
      <c r="C59" s="19">
        <v>46045</v>
      </c>
      <c r="D59" s="19">
        <v>46045</v>
      </c>
      <c r="E59" s="20"/>
      <c r="F59" s="31">
        <v>1</v>
      </c>
      <c r="G59" s="29">
        <v>0.5</v>
      </c>
      <c r="H59" s="26" t="s">
        <v>361</v>
      </c>
    </row>
    <row r="60" spans="1:8" ht="30">
      <c r="A60" s="17" t="s">
        <v>124</v>
      </c>
      <c r="B60" s="18" t="s">
        <v>125</v>
      </c>
      <c r="C60" s="19">
        <v>46045</v>
      </c>
      <c r="D60" s="19">
        <v>46045</v>
      </c>
      <c r="E60" s="20"/>
      <c r="F60" s="31">
        <v>1</v>
      </c>
      <c r="G60" s="29">
        <v>0.5</v>
      </c>
      <c r="H60" s="26" t="s">
        <v>361</v>
      </c>
    </row>
    <row r="61" spans="1:8">
      <c r="A61" s="17" t="s">
        <v>126</v>
      </c>
      <c r="B61" s="18" t="s">
        <v>127</v>
      </c>
      <c r="C61" s="19">
        <v>46028</v>
      </c>
      <c r="D61" s="19">
        <v>46028</v>
      </c>
      <c r="E61" s="20"/>
      <c r="F61" s="31">
        <v>1</v>
      </c>
      <c r="G61" s="29">
        <v>2</v>
      </c>
      <c r="H61" s="26" t="s">
        <v>361</v>
      </c>
    </row>
    <row r="62" spans="1:8" ht="30">
      <c r="A62" s="17" t="s">
        <v>128</v>
      </c>
      <c r="B62" s="18" t="s">
        <v>129</v>
      </c>
      <c r="C62" s="19">
        <v>46037</v>
      </c>
      <c r="D62" s="19">
        <v>46037</v>
      </c>
      <c r="E62" s="20"/>
      <c r="F62" s="31">
        <v>1</v>
      </c>
      <c r="G62" s="29">
        <v>2</v>
      </c>
      <c r="H62" s="26" t="s">
        <v>361</v>
      </c>
    </row>
    <row r="63" spans="1:8">
      <c r="A63" s="17" t="s">
        <v>130</v>
      </c>
      <c r="B63" s="18" t="s">
        <v>131</v>
      </c>
      <c r="C63" s="19">
        <v>46043</v>
      </c>
      <c r="D63" s="19">
        <v>46043</v>
      </c>
      <c r="E63" s="20"/>
      <c r="F63" s="31">
        <v>1</v>
      </c>
      <c r="G63" s="29">
        <v>1</v>
      </c>
      <c r="H63" s="26" t="s">
        <v>361</v>
      </c>
    </row>
    <row r="64" spans="1:8">
      <c r="A64" s="17" t="s">
        <v>132</v>
      </c>
      <c r="B64" s="18" t="s">
        <v>133</v>
      </c>
      <c r="C64" s="19">
        <v>46034</v>
      </c>
      <c r="D64" s="19">
        <v>46034</v>
      </c>
      <c r="E64" s="20"/>
      <c r="F64" s="31">
        <v>1</v>
      </c>
      <c r="G64" s="29">
        <v>0.5</v>
      </c>
      <c r="H64" s="26" t="s">
        <v>361</v>
      </c>
    </row>
    <row r="65" spans="1:8">
      <c r="A65" s="17" t="s">
        <v>134</v>
      </c>
      <c r="B65" s="18" t="s">
        <v>135</v>
      </c>
      <c r="C65" s="19">
        <v>46045</v>
      </c>
      <c r="D65" s="19">
        <v>46045</v>
      </c>
      <c r="E65" s="20"/>
      <c r="F65" s="31">
        <v>1</v>
      </c>
      <c r="G65" s="29">
        <v>0.5</v>
      </c>
      <c r="H65" s="26" t="s">
        <v>361</v>
      </c>
    </row>
    <row r="66" spans="1:8">
      <c r="A66" s="13">
        <v>2.7</v>
      </c>
      <c r="B66" s="14" t="s">
        <v>65</v>
      </c>
      <c r="C66" s="15">
        <v>46044</v>
      </c>
      <c r="D66" s="15">
        <v>46044</v>
      </c>
      <c r="E66" s="20"/>
      <c r="F66" s="30">
        <v>1</v>
      </c>
      <c r="G66" s="28">
        <v>1</v>
      </c>
      <c r="H66" s="25"/>
    </row>
    <row r="67" spans="1:8" ht="30">
      <c r="A67" s="17" t="s">
        <v>136</v>
      </c>
      <c r="B67" s="18" t="s">
        <v>137</v>
      </c>
      <c r="C67" s="19">
        <v>46044</v>
      </c>
      <c r="D67" s="19">
        <v>46044</v>
      </c>
      <c r="E67" s="20"/>
      <c r="F67" s="31">
        <v>1</v>
      </c>
      <c r="G67" s="29">
        <v>1</v>
      </c>
      <c r="H67" s="26" t="s">
        <v>19</v>
      </c>
    </row>
    <row r="68" spans="1:8">
      <c r="A68" s="13">
        <v>3</v>
      </c>
      <c r="B68" s="14" t="s">
        <v>138</v>
      </c>
      <c r="C68" s="15">
        <v>46048</v>
      </c>
      <c r="D68" s="15">
        <v>46062</v>
      </c>
      <c r="E68" s="20"/>
      <c r="F68" s="30">
        <v>11</v>
      </c>
      <c r="G68" s="28">
        <v>70.5</v>
      </c>
      <c r="H68" s="25"/>
    </row>
    <row r="69" spans="1:8">
      <c r="A69" s="13">
        <v>3.1</v>
      </c>
      <c r="B69" s="14" t="s">
        <v>69</v>
      </c>
      <c r="C69" s="15">
        <v>46048</v>
      </c>
      <c r="D69" s="15">
        <v>46048</v>
      </c>
      <c r="E69" s="20"/>
      <c r="F69" s="30">
        <v>1</v>
      </c>
      <c r="G69" s="28">
        <v>2</v>
      </c>
      <c r="H69" s="25"/>
    </row>
    <row r="70" spans="1:8">
      <c r="A70" s="17" t="s">
        <v>139</v>
      </c>
      <c r="B70" s="18" t="s">
        <v>140</v>
      </c>
      <c r="C70" s="19">
        <v>46048</v>
      </c>
      <c r="D70" s="19">
        <v>46048</v>
      </c>
      <c r="E70" s="20"/>
      <c r="F70" s="31">
        <v>1</v>
      </c>
      <c r="G70" s="29">
        <v>2</v>
      </c>
      <c r="H70" s="26" t="s">
        <v>19</v>
      </c>
    </row>
    <row r="71" spans="1:8">
      <c r="A71" s="13">
        <v>3.2</v>
      </c>
      <c r="B71" s="14" t="s">
        <v>30</v>
      </c>
      <c r="C71" s="15">
        <v>46048</v>
      </c>
      <c r="D71" s="15">
        <v>46057</v>
      </c>
      <c r="E71" s="20"/>
      <c r="F71" s="30">
        <v>8</v>
      </c>
      <c r="G71" s="28">
        <v>39</v>
      </c>
      <c r="H71" s="25"/>
    </row>
    <row r="72" spans="1:8">
      <c r="A72" s="17" t="s">
        <v>141</v>
      </c>
      <c r="B72" s="18" t="s">
        <v>142</v>
      </c>
      <c r="C72" s="19">
        <v>46048</v>
      </c>
      <c r="D72" s="19">
        <v>46052</v>
      </c>
      <c r="E72" s="20"/>
      <c r="F72" s="31">
        <v>5</v>
      </c>
      <c r="G72" s="29">
        <v>25</v>
      </c>
      <c r="H72" s="26" t="s">
        <v>383</v>
      </c>
    </row>
    <row r="73" spans="1:8">
      <c r="A73" s="17" t="s">
        <v>143</v>
      </c>
      <c r="B73" s="18" t="s">
        <v>144</v>
      </c>
      <c r="C73" s="19">
        <v>46048</v>
      </c>
      <c r="D73" s="19">
        <v>46049</v>
      </c>
      <c r="E73" s="20"/>
      <c r="F73" s="31">
        <v>2</v>
      </c>
      <c r="G73" s="29">
        <v>8</v>
      </c>
      <c r="H73" s="26" t="s">
        <v>369</v>
      </c>
    </row>
    <row r="74" spans="1:8">
      <c r="A74" s="17" t="s">
        <v>145</v>
      </c>
      <c r="B74" s="18" t="s">
        <v>146</v>
      </c>
      <c r="C74" s="19">
        <v>46057</v>
      </c>
      <c r="D74" s="19">
        <v>46057</v>
      </c>
      <c r="E74" s="20"/>
      <c r="F74" s="31">
        <v>1</v>
      </c>
      <c r="G74" s="29">
        <v>6</v>
      </c>
      <c r="H74" s="26" t="s">
        <v>367</v>
      </c>
    </row>
    <row r="75" spans="1:8">
      <c r="A75" s="13">
        <v>3.3</v>
      </c>
      <c r="B75" s="14" t="s">
        <v>37</v>
      </c>
      <c r="C75" s="15">
        <v>46056</v>
      </c>
      <c r="D75" s="15">
        <v>46059</v>
      </c>
      <c r="E75" s="20"/>
      <c r="F75" s="30">
        <v>4</v>
      </c>
      <c r="G75" s="28">
        <v>12</v>
      </c>
      <c r="H75" s="25"/>
    </row>
    <row r="76" spans="1:8" ht="30">
      <c r="A76" s="17" t="s">
        <v>147</v>
      </c>
      <c r="B76" s="18" t="s">
        <v>148</v>
      </c>
      <c r="C76" s="19">
        <v>46056</v>
      </c>
      <c r="D76" s="19">
        <v>46056</v>
      </c>
      <c r="E76" s="20"/>
      <c r="F76" s="31">
        <v>1</v>
      </c>
      <c r="G76" s="29">
        <v>8</v>
      </c>
      <c r="H76" s="26" t="s">
        <v>384</v>
      </c>
    </row>
    <row r="77" spans="1:8">
      <c r="A77" s="17" t="s">
        <v>149</v>
      </c>
      <c r="B77" s="18" t="s">
        <v>150</v>
      </c>
      <c r="C77" s="19">
        <v>46059</v>
      </c>
      <c r="D77" s="19">
        <v>46059</v>
      </c>
      <c r="E77" s="20"/>
      <c r="F77" s="31">
        <v>1</v>
      </c>
      <c r="G77" s="29">
        <v>4</v>
      </c>
      <c r="H77" s="26" t="s">
        <v>384</v>
      </c>
    </row>
    <row r="78" spans="1:8">
      <c r="A78" s="13">
        <v>3.4</v>
      </c>
      <c r="B78" s="14" t="s">
        <v>40</v>
      </c>
      <c r="C78" s="15">
        <v>46062</v>
      </c>
      <c r="D78" s="15">
        <v>46062</v>
      </c>
      <c r="E78" s="20"/>
      <c r="F78" s="30">
        <v>1</v>
      </c>
      <c r="G78" s="28">
        <v>7</v>
      </c>
      <c r="H78" s="25"/>
    </row>
    <row r="79" spans="1:8">
      <c r="A79" s="17" t="s">
        <v>151</v>
      </c>
      <c r="B79" s="18" t="s">
        <v>95</v>
      </c>
      <c r="C79" s="19">
        <v>46062</v>
      </c>
      <c r="D79" s="19">
        <v>46062</v>
      </c>
      <c r="E79" s="20"/>
      <c r="F79" s="31">
        <v>1</v>
      </c>
      <c r="G79" s="29">
        <v>1</v>
      </c>
      <c r="H79" s="26" t="s">
        <v>19</v>
      </c>
    </row>
    <row r="80" spans="1:8" ht="30">
      <c r="A80" s="17" t="s">
        <v>152</v>
      </c>
      <c r="B80" s="18" t="s">
        <v>44</v>
      </c>
      <c r="C80" s="19">
        <v>46062</v>
      </c>
      <c r="D80" s="19">
        <v>46062</v>
      </c>
      <c r="E80" s="20"/>
      <c r="F80" s="31">
        <v>1</v>
      </c>
      <c r="G80" s="29">
        <v>6</v>
      </c>
      <c r="H80" s="26" t="s">
        <v>382</v>
      </c>
    </row>
    <row r="81" spans="1:8">
      <c r="A81" s="13">
        <v>3.5</v>
      </c>
      <c r="B81" s="14" t="s">
        <v>45</v>
      </c>
      <c r="C81" s="15">
        <v>46057</v>
      </c>
      <c r="D81" s="15">
        <v>46059</v>
      </c>
      <c r="E81" s="20"/>
      <c r="F81" s="30">
        <v>3</v>
      </c>
      <c r="G81" s="28">
        <v>2</v>
      </c>
      <c r="H81" s="25"/>
    </row>
    <row r="82" spans="1:8" ht="51">
      <c r="A82" s="17" t="s">
        <v>153</v>
      </c>
      <c r="B82" s="18" t="s">
        <v>154</v>
      </c>
      <c r="C82" s="19">
        <v>46057</v>
      </c>
      <c r="D82" s="19">
        <v>46057</v>
      </c>
      <c r="E82" s="21" t="str">
        <f>_xlfn.TEXTJOIN(",",TRUE,配置项清单!B9,配置项清单!B10)</f>
        <v>相控阵数字样机软件设计说明,相控阵数字样机软件接口设计说明</v>
      </c>
      <c r="F82" s="31">
        <v>1</v>
      </c>
      <c r="G82" s="29">
        <v>0.5</v>
      </c>
      <c r="H82" s="26" t="s">
        <v>20</v>
      </c>
    </row>
    <row r="83" spans="1:8" ht="34">
      <c r="A83" s="17" t="s">
        <v>155</v>
      </c>
      <c r="B83" s="18" t="s">
        <v>156</v>
      </c>
      <c r="C83" s="19">
        <v>46059</v>
      </c>
      <c r="D83" s="19">
        <v>46059</v>
      </c>
      <c r="E83" s="21" t="str">
        <f>配置项清单!B11</f>
        <v>相控阵数字样机软件单元测试计划</v>
      </c>
      <c r="F83" s="31">
        <v>1</v>
      </c>
      <c r="G83" s="29">
        <v>0.5</v>
      </c>
      <c r="H83" s="26" t="s">
        <v>20</v>
      </c>
    </row>
    <row r="84" spans="1:8">
      <c r="A84" s="17" t="s">
        <v>157</v>
      </c>
      <c r="B84" s="18" t="s">
        <v>106</v>
      </c>
      <c r="C84" s="19">
        <v>46059</v>
      </c>
      <c r="D84" s="19">
        <v>46059</v>
      </c>
      <c r="E84" s="20"/>
      <c r="F84" s="31">
        <v>1</v>
      </c>
      <c r="G84" s="29">
        <v>0.5</v>
      </c>
      <c r="H84" s="26" t="s">
        <v>20</v>
      </c>
    </row>
    <row r="85" spans="1:8">
      <c r="A85" s="17" t="s">
        <v>158</v>
      </c>
      <c r="B85" s="18" t="s">
        <v>53</v>
      </c>
      <c r="C85" s="19">
        <v>46059</v>
      </c>
      <c r="D85" s="19">
        <v>46059</v>
      </c>
      <c r="E85" s="20"/>
      <c r="F85" s="31">
        <v>1</v>
      </c>
      <c r="G85" s="29">
        <v>0.5</v>
      </c>
      <c r="H85" s="26" t="s">
        <v>20</v>
      </c>
    </row>
    <row r="86" spans="1:8">
      <c r="A86" s="13">
        <v>3.6</v>
      </c>
      <c r="B86" s="14" t="s">
        <v>54</v>
      </c>
      <c r="C86" s="15">
        <v>46049</v>
      </c>
      <c r="D86" s="15">
        <v>46062</v>
      </c>
      <c r="E86" s="20"/>
      <c r="F86" s="30">
        <v>10</v>
      </c>
      <c r="G86" s="28">
        <v>6.5</v>
      </c>
      <c r="H86" s="25"/>
    </row>
    <row r="87" spans="1:8">
      <c r="A87" s="17" t="s">
        <v>159</v>
      </c>
      <c r="B87" s="18" t="s">
        <v>111</v>
      </c>
      <c r="C87" s="19">
        <v>46049</v>
      </c>
      <c r="D87" s="19">
        <v>46049</v>
      </c>
      <c r="E87" s="20"/>
      <c r="F87" s="31">
        <v>1</v>
      </c>
      <c r="G87" s="29">
        <v>0.5</v>
      </c>
      <c r="H87" s="26" t="s">
        <v>361</v>
      </c>
    </row>
    <row r="88" spans="1:8">
      <c r="A88" s="17" t="s">
        <v>160</v>
      </c>
      <c r="B88" s="18" t="s">
        <v>113</v>
      </c>
      <c r="C88" s="19">
        <v>46062</v>
      </c>
      <c r="D88" s="19">
        <v>46062</v>
      </c>
      <c r="E88" s="20"/>
      <c r="F88" s="31">
        <v>1</v>
      </c>
      <c r="G88" s="29">
        <v>0.5</v>
      </c>
      <c r="H88" s="26" t="s">
        <v>361</v>
      </c>
    </row>
    <row r="89" spans="1:8">
      <c r="A89" s="17" t="s">
        <v>161</v>
      </c>
      <c r="B89" s="18" t="s">
        <v>115</v>
      </c>
      <c r="C89" s="19">
        <v>46062</v>
      </c>
      <c r="D89" s="19">
        <v>46062</v>
      </c>
      <c r="E89" s="20"/>
      <c r="F89" s="31">
        <v>1</v>
      </c>
      <c r="G89" s="29">
        <v>0.5</v>
      </c>
      <c r="H89" s="26" t="s">
        <v>361</v>
      </c>
    </row>
    <row r="90" spans="1:8">
      <c r="A90" s="17" t="s">
        <v>162</v>
      </c>
      <c r="B90" s="18" t="s">
        <v>163</v>
      </c>
      <c r="C90" s="19">
        <v>46062</v>
      </c>
      <c r="D90" s="19">
        <v>46062</v>
      </c>
      <c r="E90" s="20"/>
      <c r="F90" s="31">
        <v>1</v>
      </c>
      <c r="G90" s="29">
        <v>0.5</v>
      </c>
      <c r="H90" s="26" t="s">
        <v>361</v>
      </c>
    </row>
    <row r="91" spans="1:8">
      <c r="A91" s="17" t="s">
        <v>164</v>
      </c>
      <c r="B91" s="18" t="s">
        <v>165</v>
      </c>
      <c r="C91" s="19">
        <v>46062</v>
      </c>
      <c r="D91" s="19">
        <v>46062</v>
      </c>
      <c r="E91" s="20"/>
      <c r="F91" s="31">
        <v>1</v>
      </c>
      <c r="G91" s="29">
        <v>0.5</v>
      </c>
      <c r="H91" s="26" t="s">
        <v>361</v>
      </c>
    </row>
    <row r="92" spans="1:8">
      <c r="A92" s="17" t="s">
        <v>166</v>
      </c>
      <c r="B92" s="18" t="s">
        <v>167</v>
      </c>
      <c r="C92" s="19">
        <v>46062</v>
      </c>
      <c r="D92" s="19">
        <v>46062</v>
      </c>
      <c r="E92" s="20"/>
      <c r="F92" s="31">
        <v>1</v>
      </c>
      <c r="G92" s="29">
        <v>0.5</v>
      </c>
      <c r="H92" s="26" t="s">
        <v>361</v>
      </c>
    </row>
    <row r="93" spans="1:8">
      <c r="A93" s="17" t="s">
        <v>168</v>
      </c>
      <c r="B93" s="18" t="s">
        <v>169</v>
      </c>
      <c r="C93" s="19">
        <v>46055</v>
      </c>
      <c r="D93" s="19">
        <v>46055</v>
      </c>
      <c r="E93" s="20"/>
      <c r="F93" s="31">
        <v>1</v>
      </c>
      <c r="G93" s="29">
        <v>2</v>
      </c>
      <c r="H93" s="26" t="s">
        <v>361</v>
      </c>
    </row>
    <row r="94" spans="1:8" ht="30">
      <c r="A94" s="17" t="s">
        <v>170</v>
      </c>
      <c r="B94" s="18" t="s">
        <v>171</v>
      </c>
      <c r="C94" s="19">
        <v>46058</v>
      </c>
      <c r="D94" s="19">
        <v>46058</v>
      </c>
      <c r="E94" s="20"/>
      <c r="F94" s="31">
        <v>1</v>
      </c>
      <c r="G94" s="29">
        <v>1</v>
      </c>
      <c r="H94" s="26" t="s">
        <v>361</v>
      </c>
    </row>
    <row r="95" spans="1:8">
      <c r="A95" s="17" t="s">
        <v>172</v>
      </c>
      <c r="B95" s="18" t="s">
        <v>135</v>
      </c>
      <c r="C95" s="19">
        <v>46062</v>
      </c>
      <c r="D95" s="19">
        <v>46062</v>
      </c>
      <c r="E95" s="20"/>
      <c r="F95" s="31">
        <v>1</v>
      </c>
      <c r="G95" s="29">
        <v>0.5</v>
      </c>
      <c r="H95" s="26" t="s">
        <v>361</v>
      </c>
    </row>
    <row r="96" spans="1:8">
      <c r="A96" s="13">
        <v>3.7</v>
      </c>
      <c r="B96" s="14" t="s">
        <v>65</v>
      </c>
      <c r="C96" s="15">
        <v>46059</v>
      </c>
      <c r="D96" s="15">
        <v>46059</v>
      </c>
      <c r="E96" s="20"/>
      <c r="F96" s="30">
        <v>1</v>
      </c>
      <c r="G96" s="28">
        <v>2</v>
      </c>
      <c r="H96" s="25"/>
    </row>
    <row r="97" spans="1:8" ht="30">
      <c r="A97" s="17" t="s">
        <v>173</v>
      </c>
      <c r="B97" s="18" t="s">
        <v>137</v>
      </c>
      <c r="C97" s="19">
        <v>46059</v>
      </c>
      <c r="D97" s="19">
        <v>46059</v>
      </c>
      <c r="E97" s="20"/>
      <c r="F97" s="31">
        <v>1</v>
      </c>
      <c r="G97" s="29">
        <v>2</v>
      </c>
      <c r="H97" s="26" t="s">
        <v>19</v>
      </c>
    </row>
    <row r="98" spans="1:8">
      <c r="A98" s="13">
        <v>4</v>
      </c>
      <c r="B98" s="14" t="s">
        <v>174</v>
      </c>
      <c r="C98" s="15">
        <v>46063</v>
      </c>
      <c r="D98" s="15">
        <v>46092</v>
      </c>
      <c r="E98" s="20"/>
      <c r="F98" s="30">
        <v>16</v>
      </c>
      <c r="G98" s="28">
        <v>209</v>
      </c>
      <c r="H98" s="25"/>
    </row>
    <row r="99" spans="1:8">
      <c r="A99" s="13">
        <v>4.0999999999999996</v>
      </c>
      <c r="B99" s="14" t="s">
        <v>69</v>
      </c>
      <c r="C99" s="15">
        <v>46063</v>
      </c>
      <c r="D99" s="15">
        <v>46063</v>
      </c>
      <c r="E99" s="20"/>
      <c r="F99" s="30">
        <v>1</v>
      </c>
      <c r="G99" s="28">
        <v>2</v>
      </c>
      <c r="H99" s="25"/>
    </row>
    <row r="100" spans="1:8">
      <c r="A100" s="17" t="s">
        <v>175</v>
      </c>
      <c r="B100" s="18" t="s">
        <v>140</v>
      </c>
      <c r="C100" s="19">
        <v>46063</v>
      </c>
      <c r="D100" s="19">
        <v>46063</v>
      </c>
      <c r="E100" s="20"/>
      <c r="F100" s="31">
        <v>1</v>
      </c>
      <c r="G100" s="29">
        <v>2</v>
      </c>
      <c r="H100" s="26" t="s">
        <v>19</v>
      </c>
    </row>
    <row r="101" spans="1:8">
      <c r="A101" s="13">
        <v>4.2</v>
      </c>
      <c r="B101" s="14" t="s">
        <v>30</v>
      </c>
      <c r="C101" s="15">
        <v>46063</v>
      </c>
      <c r="D101" s="15">
        <v>46091</v>
      </c>
      <c r="E101" s="20"/>
      <c r="F101" s="30">
        <v>15</v>
      </c>
      <c r="G101" s="28">
        <v>178</v>
      </c>
      <c r="H101" s="25"/>
    </row>
    <row r="102" spans="1:8">
      <c r="A102" s="17" t="s">
        <v>176</v>
      </c>
      <c r="B102" s="14" t="s">
        <v>177</v>
      </c>
      <c r="C102" s="19">
        <v>46063</v>
      </c>
      <c r="D102" s="19">
        <v>46086</v>
      </c>
      <c r="E102" s="20"/>
      <c r="F102" s="31">
        <v>12</v>
      </c>
      <c r="G102" s="29">
        <v>120</v>
      </c>
      <c r="H102" s="26"/>
    </row>
    <row r="103" spans="1:8">
      <c r="A103" s="17" t="s">
        <v>395</v>
      </c>
      <c r="B103" s="18" t="s">
        <v>391</v>
      </c>
      <c r="C103" s="19">
        <v>46080</v>
      </c>
      <c r="D103" s="19">
        <v>46084</v>
      </c>
      <c r="E103" s="20"/>
      <c r="F103" s="31">
        <v>3</v>
      </c>
      <c r="G103" s="29">
        <v>18</v>
      </c>
      <c r="H103" s="26" t="s">
        <v>400</v>
      </c>
    </row>
    <row r="104" spans="1:8">
      <c r="A104" s="17" t="s">
        <v>396</v>
      </c>
      <c r="B104" s="18" t="s">
        <v>392</v>
      </c>
      <c r="C104" s="19">
        <v>46063</v>
      </c>
      <c r="D104" s="19">
        <v>46066</v>
      </c>
      <c r="E104" s="20"/>
      <c r="F104" s="31">
        <v>4</v>
      </c>
      <c r="G104" s="29">
        <v>46</v>
      </c>
      <c r="H104" s="26" t="s">
        <v>401</v>
      </c>
    </row>
    <row r="105" spans="1:8">
      <c r="A105" s="17" t="s">
        <v>397</v>
      </c>
      <c r="B105" s="18" t="s">
        <v>393</v>
      </c>
      <c r="C105" s="19">
        <v>46085</v>
      </c>
      <c r="D105" s="19">
        <v>46087</v>
      </c>
      <c r="E105" s="20"/>
      <c r="F105" s="31">
        <v>3</v>
      </c>
      <c r="G105" s="29">
        <v>36</v>
      </c>
      <c r="H105" s="26" t="s">
        <v>399</v>
      </c>
    </row>
    <row r="106" spans="1:8">
      <c r="A106" s="17" t="s">
        <v>398</v>
      </c>
      <c r="B106" s="18" t="s">
        <v>394</v>
      </c>
      <c r="C106" s="19">
        <v>46090</v>
      </c>
      <c r="D106" s="19">
        <v>46091</v>
      </c>
      <c r="E106" s="20"/>
      <c r="F106" s="31">
        <v>2</v>
      </c>
      <c r="G106" s="29">
        <v>20</v>
      </c>
      <c r="H106" s="26" t="s">
        <v>399</v>
      </c>
    </row>
    <row r="107" spans="1:8">
      <c r="A107" s="17" t="s">
        <v>178</v>
      </c>
      <c r="B107" s="18" t="s">
        <v>179</v>
      </c>
      <c r="C107" s="19">
        <v>46087</v>
      </c>
      <c r="D107" s="19">
        <v>46087</v>
      </c>
      <c r="E107" s="20"/>
      <c r="F107" s="31">
        <v>1</v>
      </c>
      <c r="G107" s="29">
        <v>6</v>
      </c>
      <c r="H107" s="26" t="s">
        <v>367</v>
      </c>
    </row>
    <row r="108" spans="1:8">
      <c r="A108" s="17" t="s">
        <v>180</v>
      </c>
      <c r="B108" s="18" t="s">
        <v>181</v>
      </c>
      <c r="C108" s="19">
        <v>46090</v>
      </c>
      <c r="D108" s="19">
        <v>46090</v>
      </c>
      <c r="E108" s="20"/>
      <c r="F108" s="31">
        <v>1</v>
      </c>
      <c r="G108" s="29">
        <v>6</v>
      </c>
      <c r="H108" s="26" t="s">
        <v>367</v>
      </c>
    </row>
    <row r="109" spans="1:8">
      <c r="A109" s="17" t="s">
        <v>182</v>
      </c>
      <c r="B109" s="18" t="s">
        <v>183</v>
      </c>
      <c r="C109" s="19">
        <v>46091</v>
      </c>
      <c r="D109" s="19">
        <v>46091</v>
      </c>
      <c r="E109" s="20"/>
      <c r="F109" s="31">
        <v>1</v>
      </c>
      <c r="G109" s="29">
        <v>6</v>
      </c>
      <c r="H109" s="26" t="s">
        <v>367</v>
      </c>
    </row>
    <row r="110" spans="1:8">
      <c r="A110" s="17" t="s">
        <v>184</v>
      </c>
      <c r="B110" s="18" t="s">
        <v>185</v>
      </c>
      <c r="C110" s="19">
        <v>46076</v>
      </c>
      <c r="D110" s="19">
        <v>46087</v>
      </c>
      <c r="E110" s="20"/>
      <c r="F110" s="31">
        <v>10</v>
      </c>
      <c r="G110" s="29">
        <v>40</v>
      </c>
      <c r="H110" s="26" t="s">
        <v>378</v>
      </c>
    </row>
    <row r="111" spans="1:8">
      <c r="A111" s="13">
        <v>4.3</v>
      </c>
      <c r="B111" s="14" t="s">
        <v>37</v>
      </c>
      <c r="C111" s="15">
        <v>46092</v>
      </c>
      <c r="D111" s="15">
        <v>46092</v>
      </c>
      <c r="E111" s="20"/>
      <c r="F111" s="30">
        <v>1</v>
      </c>
      <c r="G111" s="28">
        <v>4</v>
      </c>
      <c r="H111" s="25"/>
    </row>
    <row r="112" spans="1:8">
      <c r="A112" s="17" t="s">
        <v>186</v>
      </c>
      <c r="B112" s="18" t="s">
        <v>187</v>
      </c>
      <c r="C112" s="19">
        <v>46092</v>
      </c>
      <c r="D112" s="19">
        <v>46092</v>
      </c>
      <c r="E112" s="20"/>
      <c r="F112" s="31">
        <v>1</v>
      </c>
      <c r="G112" s="29">
        <v>4</v>
      </c>
      <c r="H112" s="26" t="s">
        <v>384</v>
      </c>
    </row>
    <row r="113" spans="1:8">
      <c r="A113" s="13">
        <v>4.4000000000000004</v>
      </c>
      <c r="B113" s="14" t="s">
        <v>40</v>
      </c>
      <c r="C113" s="15">
        <v>46077</v>
      </c>
      <c r="D113" s="15">
        <v>46092</v>
      </c>
      <c r="E113" s="20"/>
      <c r="F113" s="30">
        <v>12</v>
      </c>
      <c r="G113" s="28">
        <v>14</v>
      </c>
      <c r="H113" s="25"/>
    </row>
    <row r="114" spans="1:8">
      <c r="A114" s="17" t="s">
        <v>188</v>
      </c>
      <c r="B114" s="18" t="s">
        <v>91</v>
      </c>
      <c r="C114" s="19">
        <v>46077</v>
      </c>
      <c r="D114" s="19">
        <v>46077</v>
      </c>
      <c r="E114" s="20"/>
      <c r="F114" s="31">
        <v>1</v>
      </c>
      <c r="G114" s="29">
        <v>1</v>
      </c>
      <c r="H114" s="26" t="s">
        <v>19</v>
      </c>
    </row>
    <row r="115" spans="1:8" ht="30">
      <c r="A115" s="17" t="s">
        <v>189</v>
      </c>
      <c r="B115" s="18" t="s">
        <v>93</v>
      </c>
      <c r="C115" s="19">
        <v>46077</v>
      </c>
      <c r="D115" s="19">
        <v>46077</v>
      </c>
      <c r="E115" s="20"/>
      <c r="F115" s="31">
        <v>1</v>
      </c>
      <c r="G115" s="29">
        <v>6</v>
      </c>
      <c r="H115" s="26" t="s">
        <v>382</v>
      </c>
    </row>
    <row r="116" spans="1:8">
      <c r="A116" s="17" t="s">
        <v>190</v>
      </c>
      <c r="B116" s="18" t="s">
        <v>95</v>
      </c>
      <c r="C116" s="19">
        <v>46092</v>
      </c>
      <c r="D116" s="19">
        <v>46092</v>
      </c>
      <c r="E116" s="20"/>
      <c r="F116" s="31">
        <v>1</v>
      </c>
      <c r="G116" s="29">
        <v>1</v>
      </c>
      <c r="H116" s="26" t="s">
        <v>19</v>
      </c>
    </row>
    <row r="117" spans="1:8" ht="30">
      <c r="A117" s="17" t="s">
        <v>191</v>
      </c>
      <c r="B117" s="18" t="s">
        <v>44</v>
      </c>
      <c r="C117" s="19">
        <v>46092</v>
      </c>
      <c r="D117" s="19">
        <v>46092</v>
      </c>
      <c r="E117" s="20"/>
      <c r="F117" s="31">
        <v>1</v>
      </c>
      <c r="G117" s="29">
        <v>6</v>
      </c>
      <c r="H117" s="26" t="s">
        <v>382</v>
      </c>
    </row>
    <row r="118" spans="1:8">
      <c r="A118" s="13">
        <v>4.5</v>
      </c>
      <c r="B118" s="14" t="s">
        <v>45</v>
      </c>
      <c r="C118" s="15">
        <v>46080</v>
      </c>
      <c r="D118" s="15">
        <v>46092</v>
      </c>
      <c r="E118" s="20"/>
      <c r="F118" s="30">
        <v>10</v>
      </c>
      <c r="G118" s="28">
        <v>2</v>
      </c>
      <c r="H118" s="25"/>
    </row>
    <row r="119" spans="1:8" ht="85">
      <c r="A119" s="17" t="s">
        <v>192</v>
      </c>
      <c r="B119" s="18" t="s">
        <v>193</v>
      </c>
      <c r="C119" s="19">
        <v>46092</v>
      </c>
      <c r="D119" s="19">
        <v>46092</v>
      </c>
      <c r="E119" s="21" t="str">
        <f>_xlfn.TEXTJOIN(",",TRUE,配置项清单!B18&amp;配置项清单!D18,配置项清单!B23&amp;配置项清单!D23,配置项清单!B12)</f>
        <v>相控阵数字样机软件源代码V0.0.3,相控阵数字样机软件可执行程序V0.0.3,相控阵数字样机软件单元测试报告</v>
      </c>
      <c r="F119" s="31">
        <v>1</v>
      </c>
      <c r="G119" s="29">
        <v>0.5</v>
      </c>
      <c r="H119" s="26" t="s">
        <v>20</v>
      </c>
    </row>
    <row r="120" spans="1:8">
      <c r="A120" s="17" t="s">
        <v>194</v>
      </c>
      <c r="B120" s="18" t="s">
        <v>195</v>
      </c>
      <c r="C120" s="19">
        <v>46080</v>
      </c>
      <c r="D120" s="19">
        <v>46080</v>
      </c>
      <c r="E120" s="20"/>
      <c r="F120" s="31">
        <v>1</v>
      </c>
      <c r="G120" s="29">
        <v>0.5</v>
      </c>
      <c r="H120" s="26" t="s">
        <v>20</v>
      </c>
    </row>
    <row r="121" spans="1:8">
      <c r="A121" s="17" t="s">
        <v>196</v>
      </c>
      <c r="B121" s="18" t="s">
        <v>106</v>
      </c>
      <c r="C121" s="19">
        <v>46092</v>
      </c>
      <c r="D121" s="19">
        <v>46092</v>
      </c>
      <c r="E121" s="20"/>
      <c r="F121" s="31">
        <v>1</v>
      </c>
      <c r="G121" s="29">
        <v>0.5</v>
      </c>
      <c r="H121" s="26" t="s">
        <v>20</v>
      </c>
    </row>
    <row r="122" spans="1:8">
      <c r="A122" s="17" t="s">
        <v>197</v>
      </c>
      <c r="B122" s="18" t="s">
        <v>53</v>
      </c>
      <c r="C122" s="19">
        <v>46092</v>
      </c>
      <c r="D122" s="19">
        <v>46092</v>
      </c>
      <c r="E122" s="20"/>
      <c r="F122" s="31">
        <v>1</v>
      </c>
      <c r="G122" s="29">
        <v>0.5</v>
      </c>
      <c r="H122" s="26" t="s">
        <v>20</v>
      </c>
    </row>
    <row r="123" spans="1:8">
      <c r="A123" s="13">
        <v>4.5999999999999996</v>
      </c>
      <c r="B123" s="14" t="s">
        <v>54</v>
      </c>
      <c r="C123" s="15">
        <v>46064</v>
      </c>
      <c r="D123" s="15">
        <v>46092</v>
      </c>
      <c r="E123" s="20"/>
      <c r="F123" s="30">
        <v>15</v>
      </c>
      <c r="G123" s="28">
        <v>7</v>
      </c>
      <c r="H123" s="25"/>
    </row>
    <row r="124" spans="1:8">
      <c r="A124" s="17" t="s">
        <v>198</v>
      </c>
      <c r="B124" s="18" t="s">
        <v>111</v>
      </c>
      <c r="C124" s="19">
        <v>46064</v>
      </c>
      <c r="D124" s="19">
        <v>46064</v>
      </c>
      <c r="E124" s="20"/>
      <c r="F124" s="31">
        <v>1</v>
      </c>
      <c r="G124" s="29">
        <v>0.5</v>
      </c>
      <c r="H124" s="26" t="s">
        <v>361</v>
      </c>
    </row>
    <row r="125" spans="1:8">
      <c r="A125" s="17" t="s">
        <v>199</v>
      </c>
      <c r="B125" s="18" t="s">
        <v>113</v>
      </c>
      <c r="C125" s="19">
        <v>46092</v>
      </c>
      <c r="D125" s="19">
        <v>46092</v>
      </c>
      <c r="E125" s="20"/>
      <c r="F125" s="31">
        <v>1</v>
      </c>
      <c r="G125" s="29">
        <v>0.5</v>
      </c>
      <c r="H125" s="26" t="s">
        <v>361</v>
      </c>
    </row>
    <row r="126" spans="1:8">
      <c r="A126" s="17" t="s">
        <v>200</v>
      </c>
      <c r="B126" s="18" t="s">
        <v>115</v>
      </c>
      <c r="C126" s="19">
        <v>46092</v>
      </c>
      <c r="D126" s="19">
        <v>46092</v>
      </c>
      <c r="E126" s="20"/>
      <c r="F126" s="31">
        <v>1</v>
      </c>
      <c r="G126" s="29">
        <v>0.5</v>
      </c>
      <c r="H126" s="26" t="s">
        <v>361</v>
      </c>
    </row>
    <row r="127" spans="1:8">
      <c r="A127" s="17" t="s">
        <v>201</v>
      </c>
      <c r="B127" s="18" t="s">
        <v>202</v>
      </c>
      <c r="C127" s="19">
        <v>46080</v>
      </c>
      <c r="D127" s="19">
        <v>46080</v>
      </c>
      <c r="E127" s="20"/>
      <c r="F127" s="31">
        <v>1</v>
      </c>
      <c r="G127" s="29">
        <v>0.5</v>
      </c>
      <c r="H127" s="26" t="s">
        <v>361</v>
      </c>
    </row>
    <row r="128" spans="1:8">
      <c r="A128" s="17" t="s">
        <v>203</v>
      </c>
      <c r="B128" s="18" t="s">
        <v>204</v>
      </c>
      <c r="C128" s="19">
        <v>46092</v>
      </c>
      <c r="D128" s="19">
        <v>46092</v>
      </c>
      <c r="E128" s="20"/>
      <c r="F128" s="31">
        <v>1</v>
      </c>
      <c r="G128" s="29">
        <v>0.5</v>
      </c>
      <c r="H128" s="26" t="s">
        <v>361</v>
      </c>
    </row>
    <row r="129" spans="1:8">
      <c r="A129" s="17" t="s">
        <v>205</v>
      </c>
      <c r="B129" s="18" t="s">
        <v>206</v>
      </c>
      <c r="C129" s="19">
        <v>46077</v>
      </c>
      <c r="D129" s="19">
        <v>46077</v>
      </c>
      <c r="E129" s="20"/>
      <c r="F129" s="31">
        <v>1</v>
      </c>
      <c r="G129" s="29">
        <v>0.5</v>
      </c>
      <c r="H129" s="26" t="s">
        <v>361</v>
      </c>
    </row>
    <row r="130" spans="1:8">
      <c r="A130" s="17" t="s">
        <v>207</v>
      </c>
      <c r="B130" s="18" t="s">
        <v>208</v>
      </c>
      <c r="C130" s="19">
        <v>46077</v>
      </c>
      <c r="D130" s="19">
        <v>46077</v>
      </c>
      <c r="E130" s="20"/>
      <c r="F130" s="31">
        <v>1</v>
      </c>
      <c r="G130" s="29">
        <v>0.5</v>
      </c>
      <c r="H130" s="26" t="s">
        <v>361</v>
      </c>
    </row>
    <row r="131" spans="1:8">
      <c r="A131" s="17" t="s">
        <v>209</v>
      </c>
      <c r="B131" s="18" t="s">
        <v>165</v>
      </c>
      <c r="C131" s="19">
        <v>46092</v>
      </c>
      <c r="D131" s="19">
        <v>46092</v>
      </c>
      <c r="E131" s="20"/>
      <c r="F131" s="31">
        <v>1</v>
      </c>
      <c r="G131" s="29">
        <v>0.5</v>
      </c>
      <c r="H131" s="26" t="s">
        <v>361</v>
      </c>
    </row>
    <row r="132" spans="1:8">
      <c r="A132" s="17" t="s">
        <v>210</v>
      </c>
      <c r="B132" s="18" t="s">
        <v>167</v>
      </c>
      <c r="C132" s="19">
        <v>46092</v>
      </c>
      <c r="D132" s="19">
        <v>46092</v>
      </c>
      <c r="E132" s="20"/>
      <c r="F132" s="31">
        <v>1</v>
      </c>
      <c r="G132" s="29">
        <v>0.5</v>
      </c>
      <c r="H132" s="26" t="s">
        <v>361</v>
      </c>
    </row>
    <row r="133" spans="1:8">
      <c r="A133" s="17" t="s">
        <v>211</v>
      </c>
      <c r="B133" s="18" t="s">
        <v>212</v>
      </c>
      <c r="C133" s="19">
        <v>46092</v>
      </c>
      <c r="D133" s="19">
        <v>46092</v>
      </c>
      <c r="E133" s="20"/>
      <c r="F133" s="31">
        <v>1</v>
      </c>
      <c r="G133" s="29">
        <v>0.5</v>
      </c>
      <c r="H133" s="26" t="s">
        <v>361</v>
      </c>
    </row>
    <row r="134" spans="1:8">
      <c r="A134" s="17" t="s">
        <v>213</v>
      </c>
      <c r="B134" s="18" t="s">
        <v>214</v>
      </c>
      <c r="C134" s="19">
        <v>46092</v>
      </c>
      <c r="D134" s="19">
        <v>46092</v>
      </c>
      <c r="E134" s="20"/>
      <c r="F134" s="31">
        <v>1</v>
      </c>
      <c r="G134" s="29">
        <v>1</v>
      </c>
      <c r="H134" s="26" t="s">
        <v>361</v>
      </c>
    </row>
    <row r="135" spans="1:8">
      <c r="A135" s="17" t="s">
        <v>215</v>
      </c>
      <c r="B135" s="18" t="s">
        <v>133</v>
      </c>
      <c r="C135" s="19">
        <v>46077</v>
      </c>
      <c r="D135" s="19">
        <v>46077</v>
      </c>
      <c r="E135" s="20"/>
      <c r="F135" s="31">
        <v>1</v>
      </c>
      <c r="G135" s="29">
        <v>0.5</v>
      </c>
      <c r="H135" s="26" t="s">
        <v>361</v>
      </c>
    </row>
    <row r="136" spans="1:8">
      <c r="A136" s="17" t="s">
        <v>216</v>
      </c>
      <c r="B136" s="18" t="s">
        <v>135</v>
      </c>
      <c r="C136" s="19">
        <v>46092</v>
      </c>
      <c r="D136" s="19">
        <v>46092</v>
      </c>
      <c r="E136" s="20"/>
      <c r="F136" s="31">
        <v>1</v>
      </c>
      <c r="G136" s="29">
        <v>0.5</v>
      </c>
      <c r="H136" s="26" t="s">
        <v>361</v>
      </c>
    </row>
    <row r="137" spans="1:8">
      <c r="A137" s="13">
        <v>4.7</v>
      </c>
      <c r="B137" s="14" t="s">
        <v>65</v>
      </c>
      <c r="C137" s="15">
        <v>46091</v>
      </c>
      <c r="D137" s="15">
        <v>46091</v>
      </c>
      <c r="E137" s="20"/>
      <c r="F137" s="30">
        <v>1</v>
      </c>
      <c r="G137" s="28">
        <v>2</v>
      </c>
      <c r="H137" s="25"/>
    </row>
    <row r="138" spans="1:8" ht="30">
      <c r="A138" s="17" t="s">
        <v>217</v>
      </c>
      <c r="B138" s="18" t="s">
        <v>67</v>
      </c>
      <c r="C138" s="19">
        <v>46091</v>
      </c>
      <c r="D138" s="19">
        <v>46091</v>
      </c>
      <c r="E138" s="20"/>
      <c r="F138" s="31">
        <v>1</v>
      </c>
      <c r="G138" s="29">
        <v>2</v>
      </c>
      <c r="H138" s="26" t="s">
        <v>19</v>
      </c>
    </row>
    <row r="139" spans="1:8">
      <c r="A139" s="17">
        <v>5</v>
      </c>
      <c r="B139" s="18" t="s">
        <v>218</v>
      </c>
      <c r="C139" s="19">
        <v>46093</v>
      </c>
      <c r="D139" s="19">
        <v>46093</v>
      </c>
      <c r="E139" s="20"/>
      <c r="F139" s="31">
        <v>1</v>
      </c>
      <c r="G139" s="29">
        <v>0</v>
      </c>
      <c r="H139" s="26" t="s">
        <v>386</v>
      </c>
    </row>
    <row r="140" spans="1:8" ht="30">
      <c r="A140" s="13">
        <v>6</v>
      </c>
      <c r="B140" s="14" t="s">
        <v>219</v>
      </c>
      <c r="C140" s="15">
        <v>46093</v>
      </c>
      <c r="D140" s="15">
        <v>46111</v>
      </c>
      <c r="E140" s="20"/>
      <c r="F140" s="30">
        <v>13</v>
      </c>
      <c r="G140" s="28">
        <v>168</v>
      </c>
      <c r="H140" s="25"/>
    </row>
    <row r="141" spans="1:8" ht="30">
      <c r="A141" s="17">
        <v>6.1</v>
      </c>
      <c r="B141" s="18" t="s">
        <v>220</v>
      </c>
      <c r="C141" s="19">
        <v>46093</v>
      </c>
      <c r="D141" s="19">
        <v>46093</v>
      </c>
      <c r="E141" s="20"/>
      <c r="F141" s="31">
        <v>1</v>
      </c>
      <c r="G141" s="29">
        <v>6</v>
      </c>
      <c r="H141" s="26" t="s">
        <v>387</v>
      </c>
    </row>
    <row r="142" spans="1:8">
      <c r="A142" s="13">
        <v>6.2</v>
      </c>
      <c r="B142" s="14" t="s">
        <v>69</v>
      </c>
      <c r="C142" s="15">
        <v>46093</v>
      </c>
      <c r="D142" s="15">
        <v>46093</v>
      </c>
      <c r="E142" s="20"/>
      <c r="F142" s="30">
        <v>1</v>
      </c>
      <c r="G142" s="28">
        <v>1</v>
      </c>
      <c r="H142" s="25"/>
    </row>
    <row r="143" spans="1:8">
      <c r="A143" s="17" t="s">
        <v>221</v>
      </c>
      <c r="B143" s="18" t="s">
        <v>140</v>
      </c>
      <c r="C143" s="19">
        <v>46093</v>
      </c>
      <c r="D143" s="19">
        <v>46093</v>
      </c>
      <c r="E143" s="20"/>
      <c r="F143" s="31">
        <v>1</v>
      </c>
      <c r="G143" s="29">
        <v>1</v>
      </c>
      <c r="H143" s="26" t="s">
        <v>19</v>
      </c>
    </row>
    <row r="144" spans="1:8">
      <c r="A144" s="13">
        <v>6.3</v>
      </c>
      <c r="B144" s="14" t="s">
        <v>30</v>
      </c>
      <c r="C144" s="15">
        <v>46094</v>
      </c>
      <c r="D144" s="15">
        <v>46111</v>
      </c>
      <c r="E144" s="20"/>
      <c r="F144" s="30">
        <v>12</v>
      </c>
      <c r="G144" s="28">
        <v>127</v>
      </c>
      <c r="H144" s="25"/>
    </row>
    <row r="145" spans="1:8">
      <c r="A145" s="17" t="s">
        <v>222</v>
      </c>
      <c r="B145" s="18" t="s">
        <v>223</v>
      </c>
      <c r="C145" s="19">
        <v>46094</v>
      </c>
      <c r="D145" s="19">
        <v>46100</v>
      </c>
      <c r="E145" s="20"/>
      <c r="F145" s="31">
        <v>5</v>
      </c>
      <c r="G145" s="29">
        <v>25</v>
      </c>
      <c r="H145" s="26" t="s">
        <v>19</v>
      </c>
    </row>
    <row r="146" spans="1:8">
      <c r="A146" s="17" t="s">
        <v>224</v>
      </c>
      <c r="B146" s="18" t="s">
        <v>225</v>
      </c>
      <c r="C146" s="19">
        <v>46097</v>
      </c>
      <c r="D146" s="19">
        <v>46100</v>
      </c>
      <c r="E146" s="20"/>
      <c r="F146" s="31">
        <v>4</v>
      </c>
      <c r="G146" s="29">
        <v>24</v>
      </c>
      <c r="H146" s="26" t="s">
        <v>378</v>
      </c>
    </row>
    <row r="147" spans="1:8">
      <c r="A147" s="17" t="s">
        <v>226</v>
      </c>
      <c r="B147" s="18" t="s">
        <v>227</v>
      </c>
      <c r="C147" s="19">
        <v>46099</v>
      </c>
      <c r="D147" s="19">
        <v>46099</v>
      </c>
      <c r="E147" s="20"/>
      <c r="F147" s="31">
        <v>1</v>
      </c>
      <c r="G147" s="29">
        <v>12</v>
      </c>
      <c r="H147" s="26" t="s">
        <v>383</v>
      </c>
    </row>
    <row r="148" spans="1:8">
      <c r="A148" s="17" t="s">
        <v>228</v>
      </c>
      <c r="B148" s="18" t="s">
        <v>229</v>
      </c>
      <c r="C148" s="19">
        <v>46101</v>
      </c>
      <c r="D148" s="19">
        <v>46101</v>
      </c>
      <c r="E148" s="20"/>
      <c r="F148" s="31">
        <v>1</v>
      </c>
      <c r="G148" s="29">
        <v>6</v>
      </c>
      <c r="H148" s="26" t="s">
        <v>378</v>
      </c>
    </row>
    <row r="149" spans="1:8">
      <c r="A149" s="17" t="s">
        <v>230</v>
      </c>
      <c r="B149" s="18" t="s">
        <v>231</v>
      </c>
      <c r="C149" s="19">
        <v>46104</v>
      </c>
      <c r="D149" s="19">
        <v>46111</v>
      </c>
      <c r="E149" s="20"/>
      <c r="F149" s="31">
        <v>6</v>
      </c>
      <c r="G149" s="29">
        <v>60</v>
      </c>
      <c r="H149" s="26" t="s">
        <v>385</v>
      </c>
    </row>
    <row r="150" spans="1:8">
      <c r="A150" s="13">
        <v>6.4</v>
      </c>
      <c r="B150" s="14" t="s">
        <v>37</v>
      </c>
      <c r="C150" s="15">
        <v>46094</v>
      </c>
      <c r="D150" s="15">
        <v>46104</v>
      </c>
      <c r="E150" s="20"/>
      <c r="F150" s="30">
        <v>7</v>
      </c>
      <c r="G150" s="28">
        <v>12</v>
      </c>
      <c r="H150" s="25"/>
    </row>
    <row r="151" spans="1:8">
      <c r="A151" s="17" t="s">
        <v>232</v>
      </c>
      <c r="B151" s="18" t="s">
        <v>233</v>
      </c>
      <c r="C151" s="19">
        <v>46094</v>
      </c>
      <c r="D151" s="19">
        <v>46094</v>
      </c>
      <c r="E151" s="20"/>
      <c r="F151" s="31">
        <v>1</v>
      </c>
      <c r="G151" s="29">
        <v>8</v>
      </c>
      <c r="H151" s="26" t="s">
        <v>388</v>
      </c>
    </row>
    <row r="152" spans="1:8">
      <c r="A152" s="17" t="s">
        <v>234</v>
      </c>
      <c r="B152" s="18" t="s">
        <v>235</v>
      </c>
      <c r="C152" s="19">
        <v>46104</v>
      </c>
      <c r="D152" s="19">
        <v>46104</v>
      </c>
      <c r="E152" s="20"/>
      <c r="F152" s="31">
        <v>1</v>
      </c>
      <c r="G152" s="29">
        <v>4</v>
      </c>
      <c r="H152" s="26" t="s">
        <v>388</v>
      </c>
    </row>
    <row r="153" spans="1:8">
      <c r="A153" s="13">
        <v>6.5</v>
      </c>
      <c r="B153" s="14" t="s">
        <v>40</v>
      </c>
      <c r="C153" s="15">
        <v>46111</v>
      </c>
      <c r="D153" s="15">
        <v>46111</v>
      </c>
      <c r="E153" s="20"/>
      <c r="F153" s="30">
        <v>1</v>
      </c>
      <c r="G153" s="28">
        <v>7</v>
      </c>
      <c r="H153" s="25"/>
    </row>
    <row r="154" spans="1:8">
      <c r="A154" s="17" t="s">
        <v>236</v>
      </c>
      <c r="B154" s="18" t="s">
        <v>95</v>
      </c>
      <c r="C154" s="19">
        <v>46111</v>
      </c>
      <c r="D154" s="19">
        <v>46111</v>
      </c>
      <c r="E154" s="20"/>
      <c r="F154" s="31">
        <v>1</v>
      </c>
      <c r="G154" s="29">
        <v>1</v>
      </c>
      <c r="H154" s="26" t="s">
        <v>19</v>
      </c>
    </row>
    <row r="155" spans="1:8" ht="30">
      <c r="A155" s="17" t="s">
        <v>237</v>
      </c>
      <c r="B155" s="18" t="s">
        <v>44</v>
      </c>
      <c r="C155" s="19">
        <v>46111</v>
      </c>
      <c r="D155" s="19">
        <v>46111</v>
      </c>
      <c r="E155" s="20"/>
      <c r="F155" s="31">
        <v>1</v>
      </c>
      <c r="G155" s="29">
        <v>6</v>
      </c>
      <c r="H155" s="26" t="s">
        <v>382</v>
      </c>
    </row>
    <row r="156" spans="1:8">
      <c r="A156" s="13">
        <v>6.6</v>
      </c>
      <c r="B156" s="14" t="s">
        <v>45</v>
      </c>
      <c r="C156" s="15">
        <v>46094</v>
      </c>
      <c r="D156" s="15">
        <v>46111</v>
      </c>
      <c r="E156" s="20"/>
      <c r="F156" s="30">
        <v>12</v>
      </c>
      <c r="G156" s="28">
        <v>5.5</v>
      </c>
      <c r="H156" s="25"/>
    </row>
    <row r="157" spans="1:8" ht="34">
      <c r="A157" s="17" t="s">
        <v>238</v>
      </c>
      <c r="B157" s="18" t="s">
        <v>239</v>
      </c>
      <c r="C157" s="19">
        <v>46097</v>
      </c>
      <c r="D157" s="19">
        <v>46097</v>
      </c>
      <c r="E157" s="21" t="str">
        <f>配置项清单!B15</f>
        <v>相控阵数字样机软件测试说明</v>
      </c>
      <c r="F157" s="31">
        <v>1</v>
      </c>
      <c r="G157" s="29">
        <v>0.5</v>
      </c>
      <c r="H157" s="26" t="s">
        <v>20</v>
      </c>
    </row>
    <row r="158" spans="1:8" ht="51">
      <c r="A158" s="17" t="s">
        <v>240</v>
      </c>
      <c r="B158" s="18" t="s">
        <v>241</v>
      </c>
      <c r="C158" s="19">
        <v>46094</v>
      </c>
      <c r="D158" s="19">
        <v>46094</v>
      </c>
      <c r="E158" s="21" t="str">
        <f>_xlfn.TEXTJOIN(",",TRUE,配置项清单!B18&amp;配置项清单!D18,配置项清单!B23&amp;配置项清单!D23)</f>
        <v>相控阵数字样机软件源代码V0.0.3,相控阵数字样机软件可执行程序V0.0.3</v>
      </c>
      <c r="F158" s="31">
        <v>1</v>
      </c>
      <c r="G158" s="29">
        <v>0.5</v>
      </c>
      <c r="H158" s="26" t="s">
        <v>20</v>
      </c>
    </row>
    <row r="159" spans="1:8" ht="51">
      <c r="A159" s="17" t="s">
        <v>242</v>
      </c>
      <c r="B159" s="18" t="s">
        <v>243</v>
      </c>
      <c r="C159" s="19">
        <v>46099</v>
      </c>
      <c r="D159" s="19">
        <v>46099</v>
      </c>
      <c r="E159" s="21" t="str">
        <f>_xlfn.TEXTJOIN(",",TRUE,配置项清单!B19&amp;配置项清单!D19,配置项清单!B24&amp;配置项清单!D24)</f>
        <v>相控阵数字样机软件源代码V0.0.4,相控阵数字样机软件可执行程序V0.0.4</v>
      </c>
      <c r="F159" s="31">
        <v>1</v>
      </c>
      <c r="G159" s="29">
        <v>0.5</v>
      </c>
      <c r="H159" s="26" t="s">
        <v>20</v>
      </c>
    </row>
    <row r="160" spans="1:8" ht="51">
      <c r="A160" s="17" t="s">
        <v>244</v>
      </c>
      <c r="B160" s="18" t="s">
        <v>245</v>
      </c>
      <c r="C160" s="19">
        <v>46100</v>
      </c>
      <c r="D160" s="19">
        <v>46100</v>
      </c>
      <c r="E160" s="21" t="str">
        <f>_xlfn.TEXTJOIN(",",TRUE,配置项清单!B19&amp;配置项清单!D19,配置项清单!B24&amp;配置项清单!D24)</f>
        <v>相控阵数字样机软件源代码V0.0.4,相控阵数字样机软件可执行程序V0.0.4</v>
      </c>
      <c r="F160" s="31">
        <v>1</v>
      </c>
      <c r="G160" s="29">
        <v>0.5</v>
      </c>
      <c r="H160" s="26" t="s">
        <v>20</v>
      </c>
    </row>
    <row r="161" spans="1:8" ht="68">
      <c r="A161" s="17" t="s">
        <v>246</v>
      </c>
      <c r="B161" s="18" t="s">
        <v>247</v>
      </c>
      <c r="C161" s="19">
        <v>46105</v>
      </c>
      <c r="D161" s="19">
        <v>46105</v>
      </c>
      <c r="E161" s="21" t="str">
        <f>_xlfn.TEXTJOIN(",",TRUE,配置项清单!B20&amp;配置项清单!D20,配置项清单!B25&amp;配置项清单!D25,配置项清单!B16)</f>
        <v>相控阵数字样机软件源代码V1.0.0,相控阵数字样机软件可执行程序V1.0.0,相控阵数字样机软件测试报告</v>
      </c>
      <c r="F161" s="31">
        <v>1</v>
      </c>
      <c r="G161" s="29">
        <v>0.5</v>
      </c>
      <c r="H161" s="26" t="s">
        <v>20</v>
      </c>
    </row>
    <row r="162" spans="1:8" ht="51">
      <c r="A162" s="17" t="s">
        <v>248</v>
      </c>
      <c r="B162" s="18" t="s">
        <v>249</v>
      </c>
      <c r="C162" s="19">
        <v>46104</v>
      </c>
      <c r="D162" s="19">
        <v>46104</v>
      </c>
      <c r="E162" s="21" t="str">
        <f>_xlfn.TEXTJOIN(",",TRUE,配置项清单!B20&amp;配置项清单!D20,配置项清单!B25&amp;配置项清单!D25)</f>
        <v>相控阵数字样机软件源代码V1.0.0,相控阵数字样机软件可执行程序V1.0.0</v>
      </c>
      <c r="F162" s="31">
        <v>1</v>
      </c>
      <c r="G162" s="29">
        <v>0.5</v>
      </c>
      <c r="H162" s="26" t="s">
        <v>20</v>
      </c>
    </row>
    <row r="163" spans="1:8" ht="51">
      <c r="A163" s="17" t="s">
        <v>250</v>
      </c>
      <c r="B163" s="18" t="s">
        <v>251</v>
      </c>
      <c r="C163" s="19">
        <v>46111</v>
      </c>
      <c r="D163" s="19">
        <v>46111</v>
      </c>
      <c r="E163" s="21" t="str">
        <f>_xlfn.TEXTJOIN(",",TRUE,配置项清单!B21&amp;配置项清单!D21,配置项清单!B26&amp;配置项清单!D26)</f>
        <v>相控阵数字样机软件源代码V2.0.0,相控阵数字样机软件可执行程序V2.0.0</v>
      </c>
      <c r="F163" s="31">
        <v>1</v>
      </c>
      <c r="G163" s="29">
        <v>0.5</v>
      </c>
      <c r="H163" s="26" t="s">
        <v>20</v>
      </c>
    </row>
    <row r="164" spans="1:8">
      <c r="A164" s="17" t="s">
        <v>252</v>
      </c>
      <c r="B164" s="18" t="s">
        <v>253</v>
      </c>
      <c r="C164" s="19">
        <v>46111</v>
      </c>
      <c r="D164" s="19">
        <v>46111</v>
      </c>
      <c r="E164" s="20"/>
      <c r="F164" s="31">
        <v>1</v>
      </c>
      <c r="G164" s="29">
        <v>0.5</v>
      </c>
      <c r="H164" s="26" t="s">
        <v>20</v>
      </c>
    </row>
    <row r="165" spans="1:8">
      <c r="A165" s="17" t="s">
        <v>254</v>
      </c>
      <c r="B165" s="18" t="s">
        <v>106</v>
      </c>
      <c r="C165" s="19">
        <v>46111</v>
      </c>
      <c r="D165" s="19">
        <v>46111</v>
      </c>
      <c r="E165" s="20"/>
      <c r="F165" s="31">
        <v>1</v>
      </c>
      <c r="G165" s="29">
        <v>0.5</v>
      </c>
      <c r="H165" s="26" t="s">
        <v>20</v>
      </c>
    </row>
    <row r="166" spans="1:8">
      <c r="A166" s="17" t="s">
        <v>255</v>
      </c>
      <c r="B166" s="18" t="s">
        <v>53</v>
      </c>
      <c r="C166" s="19">
        <v>46111</v>
      </c>
      <c r="D166" s="19">
        <v>46111</v>
      </c>
      <c r="E166" s="20"/>
      <c r="F166" s="31">
        <v>1</v>
      </c>
      <c r="G166" s="29">
        <v>0.5</v>
      </c>
      <c r="H166" s="26" t="s">
        <v>20</v>
      </c>
    </row>
    <row r="167" spans="1:8" ht="51">
      <c r="A167" s="17" t="s">
        <v>256</v>
      </c>
      <c r="B167" s="18" t="s">
        <v>257</v>
      </c>
      <c r="C167" s="19">
        <v>46111</v>
      </c>
      <c r="D167" s="19">
        <v>46111</v>
      </c>
      <c r="E167" s="21" t="str">
        <f>_xlfn.TEXTJOIN(",",TRUE,配置项清单!B21&amp;配置项清单!D21,配置项清单!B26&amp;配置项清单!D26)</f>
        <v>相控阵数字样机软件源代码V2.0.0,相控阵数字样机软件可执行程序V2.0.0</v>
      </c>
      <c r="F167" s="31">
        <v>1</v>
      </c>
      <c r="G167" s="29">
        <v>0.5</v>
      </c>
      <c r="H167" s="26" t="s">
        <v>20</v>
      </c>
    </row>
    <row r="168" spans="1:8">
      <c r="A168" s="13">
        <v>6.7</v>
      </c>
      <c r="B168" s="14" t="s">
        <v>54</v>
      </c>
      <c r="C168" s="15">
        <v>46093</v>
      </c>
      <c r="D168" s="15">
        <v>46111</v>
      </c>
      <c r="E168" s="20"/>
      <c r="F168" s="30">
        <v>13</v>
      </c>
      <c r="G168" s="28">
        <v>7.5</v>
      </c>
      <c r="H168" s="25"/>
    </row>
    <row r="169" spans="1:8">
      <c r="A169" s="17" t="s">
        <v>258</v>
      </c>
      <c r="B169" s="18" t="s">
        <v>259</v>
      </c>
      <c r="C169" s="19">
        <v>46094</v>
      </c>
      <c r="D169" s="19">
        <v>46094</v>
      </c>
      <c r="E169" s="20"/>
      <c r="F169" s="31">
        <v>1</v>
      </c>
      <c r="G169" s="29">
        <v>0.5</v>
      </c>
      <c r="H169" s="26" t="s">
        <v>361</v>
      </c>
    </row>
    <row r="170" spans="1:8">
      <c r="A170" s="17" t="s">
        <v>260</v>
      </c>
      <c r="B170" s="18" t="s">
        <v>113</v>
      </c>
      <c r="C170" s="19">
        <v>46111</v>
      </c>
      <c r="D170" s="19">
        <v>46111</v>
      </c>
      <c r="E170" s="20"/>
      <c r="F170" s="31">
        <v>1</v>
      </c>
      <c r="G170" s="29">
        <v>0.5</v>
      </c>
      <c r="H170" s="26" t="s">
        <v>361</v>
      </c>
    </row>
    <row r="171" spans="1:8">
      <c r="A171" s="17" t="s">
        <v>261</v>
      </c>
      <c r="B171" s="18" t="s">
        <v>58</v>
      </c>
      <c r="C171" s="19">
        <v>46111</v>
      </c>
      <c r="D171" s="19">
        <v>46111</v>
      </c>
      <c r="E171" s="20"/>
      <c r="F171" s="31">
        <v>1</v>
      </c>
      <c r="G171" s="29">
        <v>0.5</v>
      </c>
      <c r="H171" s="26" t="s">
        <v>361</v>
      </c>
    </row>
    <row r="172" spans="1:8">
      <c r="A172" s="17" t="s">
        <v>262</v>
      </c>
      <c r="B172" s="18" t="s">
        <v>117</v>
      </c>
      <c r="C172" s="19">
        <v>46111</v>
      </c>
      <c r="D172" s="19">
        <v>46111</v>
      </c>
      <c r="E172" s="20"/>
      <c r="F172" s="31">
        <v>1</v>
      </c>
      <c r="G172" s="29">
        <v>0.5</v>
      </c>
      <c r="H172" s="26" t="s">
        <v>361</v>
      </c>
    </row>
    <row r="173" spans="1:8">
      <c r="A173" s="17" t="s">
        <v>263</v>
      </c>
      <c r="B173" s="18" t="s">
        <v>123</v>
      </c>
      <c r="C173" s="19">
        <v>46111</v>
      </c>
      <c r="D173" s="19">
        <v>46111</v>
      </c>
      <c r="E173" s="20"/>
      <c r="F173" s="31">
        <v>1</v>
      </c>
      <c r="G173" s="29">
        <v>0.5</v>
      </c>
      <c r="H173" s="26" t="s">
        <v>361</v>
      </c>
    </row>
    <row r="174" spans="1:8">
      <c r="A174" s="17" t="s">
        <v>264</v>
      </c>
      <c r="B174" s="18" t="s">
        <v>167</v>
      </c>
      <c r="C174" s="19">
        <v>46111</v>
      </c>
      <c r="D174" s="19">
        <v>46111</v>
      </c>
      <c r="E174" s="20"/>
      <c r="F174" s="31">
        <v>1</v>
      </c>
      <c r="G174" s="29">
        <v>0.5</v>
      </c>
      <c r="H174" s="26" t="s">
        <v>361</v>
      </c>
    </row>
    <row r="175" spans="1:8">
      <c r="A175" s="17" t="s">
        <v>265</v>
      </c>
      <c r="B175" s="18" t="s">
        <v>266</v>
      </c>
      <c r="C175" s="19">
        <v>46093</v>
      </c>
      <c r="D175" s="19">
        <v>46093</v>
      </c>
      <c r="E175" s="20"/>
      <c r="F175" s="31">
        <v>1</v>
      </c>
      <c r="G175" s="29">
        <v>2</v>
      </c>
      <c r="H175" s="26" t="s">
        <v>361</v>
      </c>
    </row>
    <row r="176" spans="1:8">
      <c r="A176" s="17" t="s">
        <v>267</v>
      </c>
      <c r="B176" s="18" t="s">
        <v>268</v>
      </c>
      <c r="C176" s="19">
        <v>46104</v>
      </c>
      <c r="D176" s="19">
        <v>46104</v>
      </c>
      <c r="E176" s="20"/>
      <c r="F176" s="31">
        <v>1</v>
      </c>
      <c r="G176" s="29">
        <v>1</v>
      </c>
      <c r="H176" s="26" t="s">
        <v>361</v>
      </c>
    </row>
    <row r="177" spans="1:8">
      <c r="A177" s="17" t="s">
        <v>269</v>
      </c>
      <c r="B177" s="18" t="s">
        <v>270</v>
      </c>
      <c r="C177" s="19">
        <v>46101</v>
      </c>
      <c r="D177" s="19">
        <v>46101</v>
      </c>
      <c r="E177" s="20"/>
      <c r="F177" s="31">
        <v>1</v>
      </c>
      <c r="G177" s="29">
        <v>1</v>
      </c>
      <c r="H177" s="26" t="s">
        <v>361</v>
      </c>
    </row>
    <row r="178" spans="1:8">
      <c r="A178" s="17" t="s">
        <v>271</v>
      </c>
      <c r="B178" s="18" t="s">
        <v>272</v>
      </c>
      <c r="C178" s="19">
        <v>46111</v>
      </c>
      <c r="D178" s="19">
        <v>46111</v>
      </c>
      <c r="E178" s="20"/>
      <c r="F178" s="31">
        <v>1</v>
      </c>
      <c r="G178" s="29">
        <v>0.5</v>
      </c>
      <c r="H178" s="26" t="s">
        <v>361</v>
      </c>
    </row>
    <row r="179" spans="1:8">
      <c r="A179" s="13">
        <v>6.8</v>
      </c>
      <c r="B179" s="14" t="s">
        <v>65</v>
      </c>
      <c r="C179" s="15">
        <v>46105</v>
      </c>
      <c r="D179" s="15">
        <v>46105</v>
      </c>
      <c r="E179" s="20"/>
      <c r="F179" s="30">
        <v>1</v>
      </c>
      <c r="G179" s="28">
        <v>2</v>
      </c>
      <c r="H179" s="25"/>
    </row>
    <row r="180" spans="1:8" ht="30">
      <c r="A180" s="17" t="s">
        <v>273</v>
      </c>
      <c r="B180" s="18" t="s">
        <v>67</v>
      </c>
      <c r="C180" s="19">
        <v>46105</v>
      </c>
      <c r="D180" s="19">
        <v>46105</v>
      </c>
      <c r="E180" s="20"/>
      <c r="F180" s="31">
        <v>1</v>
      </c>
      <c r="G180" s="29">
        <v>2</v>
      </c>
      <c r="H180" s="26" t="s">
        <v>19</v>
      </c>
    </row>
    <row r="181" spans="1:8">
      <c r="A181" s="13">
        <v>7</v>
      </c>
      <c r="B181" s="14" t="s">
        <v>274</v>
      </c>
      <c r="C181" s="15">
        <v>46112</v>
      </c>
      <c r="D181" s="15">
        <v>46132</v>
      </c>
      <c r="E181" s="20"/>
      <c r="F181" s="30">
        <v>14</v>
      </c>
      <c r="G181" s="28">
        <v>77</v>
      </c>
      <c r="H181" s="25"/>
    </row>
    <row r="182" spans="1:8">
      <c r="A182" s="13">
        <v>7.1</v>
      </c>
      <c r="B182" s="14" t="s">
        <v>69</v>
      </c>
      <c r="C182" s="22"/>
      <c r="D182" s="22"/>
      <c r="E182" s="20"/>
      <c r="F182" s="32"/>
      <c r="G182" s="28">
        <v>1</v>
      </c>
      <c r="H182" s="25"/>
    </row>
    <row r="183" spans="1:8">
      <c r="A183" s="17" t="s">
        <v>275</v>
      </c>
      <c r="B183" s="18" t="s">
        <v>140</v>
      </c>
      <c r="C183" s="19">
        <v>46112</v>
      </c>
      <c r="D183" s="19">
        <v>46112</v>
      </c>
      <c r="E183" s="20"/>
      <c r="F183" s="31">
        <v>1</v>
      </c>
      <c r="G183" s="29">
        <v>1</v>
      </c>
      <c r="H183" s="26" t="s">
        <v>19</v>
      </c>
    </row>
    <row r="184" spans="1:8">
      <c r="A184" s="13">
        <v>7.2</v>
      </c>
      <c r="B184" s="14" t="s">
        <v>30</v>
      </c>
      <c r="C184" s="15">
        <v>46112</v>
      </c>
      <c r="D184" s="15">
        <v>46132</v>
      </c>
      <c r="E184" s="20"/>
      <c r="F184" s="30">
        <v>14</v>
      </c>
      <c r="G184" s="28">
        <v>64</v>
      </c>
      <c r="H184" s="25"/>
    </row>
    <row r="185" spans="1:8">
      <c r="A185" s="17" t="s">
        <v>276</v>
      </c>
      <c r="B185" s="18" t="s">
        <v>277</v>
      </c>
      <c r="C185" s="19">
        <v>46112</v>
      </c>
      <c r="D185" s="19">
        <v>46126</v>
      </c>
      <c r="E185" s="20"/>
      <c r="F185" s="31">
        <v>10</v>
      </c>
      <c r="G185" s="29">
        <v>40</v>
      </c>
      <c r="H185" s="26" t="s">
        <v>369</v>
      </c>
    </row>
    <row r="186" spans="1:8">
      <c r="A186" s="17" t="s">
        <v>278</v>
      </c>
      <c r="B186" s="18" t="s">
        <v>279</v>
      </c>
      <c r="C186" s="19">
        <v>46127</v>
      </c>
      <c r="D186" s="19">
        <v>46132</v>
      </c>
      <c r="E186" s="20"/>
      <c r="F186" s="31">
        <v>4</v>
      </c>
      <c r="G186" s="29">
        <v>24</v>
      </c>
      <c r="H186" s="26" t="s">
        <v>19</v>
      </c>
    </row>
    <row r="187" spans="1:8">
      <c r="A187" s="13">
        <v>7.3</v>
      </c>
      <c r="B187" s="14" t="s">
        <v>40</v>
      </c>
      <c r="C187" s="15">
        <v>46132</v>
      </c>
      <c r="D187" s="15">
        <v>46132</v>
      </c>
      <c r="E187" s="20"/>
      <c r="F187" s="30">
        <v>1</v>
      </c>
      <c r="G187" s="28">
        <v>1</v>
      </c>
      <c r="H187" s="25"/>
    </row>
    <row r="188" spans="1:8">
      <c r="A188" s="17" t="s">
        <v>280</v>
      </c>
      <c r="B188" s="18" t="s">
        <v>281</v>
      </c>
      <c r="C188" s="19">
        <v>46132</v>
      </c>
      <c r="D188" s="19">
        <v>46132</v>
      </c>
      <c r="E188" s="20"/>
      <c r="F188" s="31">
        <v>1</v>
      </c>
      <c r="G188" s="29">
        <v>1</v>
      </c>
      <c r="H188" s="26" t="s">
        <v>19</v>
      </c>
    </row>
    <row r="189" spans="1:8">
      <c r="A189" s="13">
        <v>7.4</v>
      </c>
      <c r="B189" s="14" t="s">
        <v>45</v>
      </c>
      <c r="C189" s="15">
        <v>46127</v>
      </c>
      <c r="D189" s="15">
        <v>46132</v>
      </c>
      <c r="E189" s="20"/>
      <c r="F189" s="30">
        <v>4</v>
      </c>
      <c r="G189" s="28">
        <v>2.5</v>
      </c>
      <c r="H189" s="25"/>
    </row>
    <row r="190" spans="1:8" ht="51">
      <c r="A190" s="17" t="s">
        <v>282</v>
      </c>
      <c r="B190" s="18" t="s">
        <v>283</v>
      </c>
      <c r="C190" s="19">
        <v>46127</v>
      </c>
      <c r="D190" s="19">
        <v>46127</v>
      </c>
      <c r="E190" s="21" t="str">
        <f>_xlfn.TEXTJOIN(",",TRUE,配置项清单!B22&amp;配置项清单!D22,配置项清单!B27&amp;配置项清单!D27)</f>
        <v>相控阵数字样机软件源代码V3.0.0,相控阵数字样机软件可执行程序V3.0.0</v>
      </c>
      <c r="F190" s="31">
        <v>1</v>
      </c>
      <c r="G190" s="29">
        <v>0.5</v>
      </c>
      <c r="H190" s="26" t="s">
        <v>20</v>
      </c>
    </row>
    <row r="191" spans="1:8">
      <c r="A191" s="17" t="s">
        <v>284</v>
      </c>
      <c r="B191" s="18" t="s">
        <v>285</v>
      </c>
      <c r="C191" s="19">
        <v>46132</v>
      </c>
      <c r="D191" s="19">
        <v>46132</v>
      </c>
      <c r="E191" s="20"/>
      <c r="F191" s="31">
        <v>1</v>
      </c>
      <c r="G191" s="29">
        <v>0.5</v>
      </c>
      <c r="H191" s="26" t="s">
        <v>20</v>
      </c>
    </row>
    <row r="192" spans="1:8">
      <c r="A192" s="17" t="s">
        <v>286</v>
      </c>
      <c r="B192" s="18" t="s">
        <v>287</v>
      </c>
      <c r="C192" s="19">
        <v>46132</v>
      </c>
      <c r="D192" s="19">
        <v>46132</v>
      </c>
      <c r="E192" s="20"/>
      <c r="F192" s="31">
        <v>1</v>
      </c>
      <c r="G192" s="29">
        <v>0.5</v>
      </c>
      <c r="H192" s="26" t="s">
        <v>20</v>
      </c>
    </row>
    <row r="193" spans="1:8">
      <c r="A193" s="17" t="s">
        <v>288</v>
      </c>
      <c r="B193" s="18" t="s">
        <v>106</v>
      </c>
      <c r="C193" s="19">
        <v>46132</v>
      </c>
      <c r="D193" s="19">
        <v>46132</v>
      </c>
      <c r="E193" s="20"/>
      <c r="F193" s="31">
        <v>1</v>
      </c>
      <c r="G193" s="29">
        <v>0.5</v>
      </c>
      <c r="H193" s="26" t="s">
        <v>20</v>
      </c>
    </row>
    <row r="194" spans="1:8">
      <c r="A194" s="17" t="s">
        <v>289</v>
      </c>
      <c r="B194" s="18" t="s">
        <v>53</v>
      </c>
      <c r="C194" s="19">
        <v>46132</v>
      </c>
      <c r="D194" s="19">
        <v>46132</v>
      </c>
      <c r="E194" s="20"/>
      <c r="F194" s="31">
        <v>1</v>
      </c>
      <c r="G194" s="29">
        <v>0.5</v>
      </c>
      <c r="H194" s="26" t="s">
        <v>20</v>
      </c>
    </row>
    <row r="195" spans="1:8">
      <c r="A195" s="13">
        <v>7.5</v>
      </c>
      <c r="B195" s="14" t="s">
        <v>54</v>
      </c>
      <c r="C195" s="15">
        <v>46113</v>
      </c>
      <c r="D195" s="15">
        <v>46132</v>
      </c>
      <c r="E195" s="20"/>
      <c r="F195" s="30">
        <v>13</v>
      </c>
      <c r="G195" s="28">
        <v>8.5</v>
      </c>
      <c r="H195" s="25"/>
    </row>
    <row r="196" spans="1:8">
      <c r="A196" s="17" t="s">
        <v>290</v>
      </c>
      <c r="B196" s="18" t="s">
        <v>259</v>
      </c>
      <c r="C196" s="19">
        <v>46113</v>
      </c>
      <c r="D196" s="19">
        <v>46113</v>
      </c>
      <c r="E196" s="20"/>
      <c r="F196" s="31">
        <v>1</v>
      </c>
      <c r="G196" s="29">
        <v>0.5</v>
      </c>
      <c r="H196" s="26" t="s">
        <v>361</v>
      </c>
    </row>
    <row r="197" spans="1:8">
      <c r="A197" s="17" t="s">
        <v>291</v>
      </c>
      <c r="B197" s="18" t="s">
        <v>113</v>
      </c>
      <c r="C197" s="19">
        <v>46132</v>
      </c>
      <c r="D197" s="19">
        <v>46132</v>
      </c>
      <c r="E197" s="20"/>
      <c r="F197" s="31">
        <v>1</v>
      </c>
      <c r="G197" s="29">
        <v>0.5</v>
      </c>
      <c r="H197" s="26" t="s">
        <v>361</v>
      </c>
    </row>
    <row r="198" spans="1:8">
      <c r="A198" s="17" t="s">
        <v>292</v>
      </c>
      <c r="B198" s="18" t="s">
        <v>117</v>
      </c>
      <c r="C198" s="19">
        <v>46132</v>
      </c>
      <c r="D198" s="19">
        <v>46132</v>
      </c>
      <c r="E198" s="20"/>
      <c r="F198" s="31">
        <v>1</v>
      </c>
      <c r="G198" s="29">
        <v>0.5</v>
      </c>
      <c r="H198" s="26" t="s">
        <v>361</v>
      </c>
    </row>
    <row r="199" spans="1:8">
      <c r="A199" s="17" t="s">
        <v>293</v>
      </c>
      <c r="B199" s="18" t="s">
        <v>123</v>
      </c>
      <c r="C199" s="19">
        <v>46132</v>
      </c>
      <c r="D199" s="19">
        <v>46132</v>
      </c>
      <c r="E199" s="20"/>
      <c r="F199" s="31">
        <v>1</v>
      </c>
      <c r="G199" s="29">
        <v>0.5</v>
      </c>
      <c r="H199" s="26" t="s">
        <v>361</v>
      </c>
    </row>
    <row r="200" spans="1:8">
      <c r="A200" s="17" t="s">
        <v>294</v>
      </c>
      <c r="B200" s="18" t="s">
        <v>167</v>
      </c>
      <c r="C200" s="19">
        <v>46132</v>
      </c>
      <c r="D200" s="19">
        <v>46132</v>
      </c>
      <c r="E200" s="20"/>
      <c r="F200" s="31">
        <v>1</v>
      </c>
      <c r="G200" s="29">
        <v>0.5</v>
      </c>
      <c r="H200" s="26" t="s">
        <v>361</v>
      </c>
    </row>
    <row r="201" spans="1:8">
      <c r="A201" s="17" t="s">
        <v>295</v>
      </c>
      <c r="B201" s="18" t="s">
        <v>296</v>
      </c>
      <c r="C201" s="19">
        <v>46132</v>
      </c>
      <c r="D201" s="19">
        <v>46132</v>
      </c>
      <c r="E201" s="20"/>
      <c r="F201" s="31">
        <v>1</v>
      </c>
      <c r="G201" s="29">
        <v>6</v>
      </c>
      <c r="H201" s="26" t="s">
        <v>361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G18" sqref="G18"/>
    </sheetView>
  </sheetViews>
  <sheetFormatPr baseColWidth="10" defaultRowHeight="16"/>
  <cols>
    <col min="2" max="2" width="39.33203125" style="3" customWidth="1"/>
    <col min="3" max="3" width="29.83203125" style="3" customWidth="1"/>
    <col min="4" max="4" width="10.83203125" style="2" customWidth="1"/>
    <col min="5" max="5" width="18" style="3" customWidth="1"/>
    <col min="6" max="6" width="17.6640625" customWidth="1"/>
    <col min="7" max="7" width="15.83203125" customWidth="1"/>
  </cols>
  <sheetData>
    <row r="1" spans="1:7" s="1" customFormat="1" ht="38" customHeight="1">
      <c r="A1" s="34" t="s">
        <v>297</v>
      </c>
      <c r="B1" s="34" t="s">
        <v>298</v>
      </c>
      <c r="C1" s="34" t="s">
        <v>299</v>
      </c>
      <c r="D1" s="34" t="s">
        <v>300</v>
      </c>
      <c r="E1" s="34" t="s">
        <v>301</v>
      </c>
      <c r="F1" s="40" t="s">
        <v>302</v>
      </c>
      <c r="G1" s="27" t="s">
        <v>402</v>
      </c>
    </row>
    <row r="2" spans="1:7" ht="25" customHeight="1">
      <c r="A2" s="36">
        <v>1</v>
      </c>
      <c r="B2" s="36" t="s">
        <v>303</v>
      </c>
      <c r="C2" s="36" t="s">
        <v>304</v>
      </c>
      <c r="D2" s="37" t="s">
        <v>305</v>
      </c>
      <c r="E2" s="35" t="s">
        <v>389</v>
      </c>
      <c r="F2" s="41">
        <v>12</v>
      </c>
      <c r="G2" s="36">
        <f>项目进度计划!A2</f>
        <v>1</v>
      </c>
    </row>
    <row r="3" spans="1:7" ht="25" customHeight="1">
      <c r="A3" s="36">
        <v>2</v>
      </c>
      <c r="B3" s="36" t="s">
        <v>306</v>
      </c>
      <c r="C3" s="36" t="s">
        <v>307</v>
      </c>
      <c r="D3" s="37" t="s">
        <v>305</v>
      </c>
      <c r="E3" s="35" t="s">
        <v>389</v>
      </c>
      <c r="F3" s="41">
        <v>9</v>
      </c>
      <c r="G3" s="36">
        <f>G2</f>
        <v>1</v>
      </c>
    </row>
    <row r="4" spans="1:7" ht="25" customHeight="1">
      <c r="A4" s="36">
        <v>3</v>
      </c>
      <c r="B4" s="36" t="s">
        <v>308</v>
      </c>
      <c r="C4" s="36" t="s">
        <v>309</v>
      </c>
      <c r="D4" s="37" t="s">
        <v>305</v>
      </c>
      <c r="E4" s="35" t="s">
        <v>389</v>
      </c>
      <c r="F4" s="41">
        <v>31</v>
      </c>
      <c r="G4" s="36">
        <v>2</v>
      </c>
    </row>
    <row r="5" spans="1:7" ht="25" customHeight="1">
      <c r="A5" s="36">
        <v>4</v>
      </c>
      <c r="B5" s="36" t="s">
        <v>310</v>
      </c>
      <c r="C5" s="36" t="s">
        <v>311</v>
      </c>
      <c r="D5" s="37" t="s">
        <v>305</v>
      </c>
      <c r="E5" s="35" t="s">
        <v>389</v>
      </c>
      <c r="F5" s="41">
        <v>11</v>
      </c>
      <c r="G5" s="36">
        <v>2</v>
      </c>
    </row>
    <row r="6" spans="1:7" ht="25" customHeight="1">
      <c r="A6" s="36">
        <v>5</v>
      </c>
      <c r="B6" s="36" t="s">
        <v>312</v>
      </c>
      <c r="C6" s="36" t="s">
        <v>313</v>
      </c>
      <c r="D6" s="37" t="s">
        <v>305</v>
      </c>
      <c r="E6" s="35" t="s">
        <v>389</v>
      </c>
      <c r="F6" s="41">
        <v>16</v>
      </c>
      <c r="G6" s="36">
        <v>2</v>
      </c>
    </row>
    <row r="7" spans="1:7" ht="25" customHeight="1">
      <c r="A7" s="36">
        <v>6</v>
      </c>
      <c r="B7" s="36" t="s">
        <v>314</v>
      </c>
      <c r="C7" s="36" t="s">
        <v>315</v>
      </c>
      <c r="D7" s="37" t="s">
        <v>305</v>
      </c>
      <c r="E7" s="35" t="s">
        <v>389</v>
      </c>
      <c r="F7" s="41">
        <v>15</v>
      </c>
      <c r="G7" s="36">
        <v>2</v>
      </c>
    </row>
    <row r="8" spans="1:7" ht="25" customHeight="1">
      <c r="A8" s="36">
        <v>7</v>
      </c>
      <c r="B8" s="36" t="s">
        <v>316</v>
      </c>
      <c r="C8" s="36" t="s">
        <v>317</v>
      </c>
      <c r="D8" s="37" t="s">
        <v>305</v>
      </c>
      <c r="E8" s="35" t="s">
        <v>389</v>
      </c>
      <c r="F8" s="41">
        <v>36</v>
      </c>
      <c r="G8" s="36">
        <v>2</v>
      </c>
    </row>
    <row r="9" spans="1:7" ht="25" customHeight="1">
      <c r="A9" s="36">
        <v>8</v>
      </c>
      <c r="B9" s="36" t="s">
        <v>318</v>
      </c>
      <c r="C9" s="36" t="s">
        <v>319</v>
      </c>
      <c r="D9" s="37" t="s">
        <v>305</v>
      </c>
      <c r="E9" s="35" t="s">
        <v>389</v>
      </c>
      <c r="F9" s="41">
        <v>81</v>
      </c>
      <c r="G9" s="36">
        <v>3</v>
      </c>
    </row>
    <row r="10" spans="1:7" ht="25" customHeight="1">
      <c r="A10" s="36">
        <v>9</v>
      </c>
      <c r="B10" s="36" t="s">
        <v>320</v>
      </c>
      <c r="C10" s="36" t="s">
        <v>321</v>
      </c>
      <c r="D10" s="37" t="s">
        <v>305</v>
      </c>
      <c r="E10" s="35" t="s">
        <v>389</v>
      </c>
      <c r="F10" s="41">
        <v>8</v>
      </c>
      <c r="G10" s="36">
        <v>3</v>
      </c>
    </row>
    <row r="11" spans="1:7" ht="25" customHeight="1">
      <c r="A11" s="36">
        <v>10</v>
      </c>
      <c r="B11" s="36" t="s">
        <v>322</v>
      </c>
      <c r="C11" s="36" t="s">
        <v>323</v>
      </c>
      <c r="D11" s="37" t="s">
        <v>305</v>
      </c>
      <c r="E11" s="35" t="s">
        <v>389</v>
      </c>
      <c r="F11" s="41">
        <v>17</v>
      </c>
      <c r="G11" s="36">
        <v>3</v>
      </c>
    </row>
    <row r="12" spans="1:7" ht="25" customHeight="1">
      <c r="A12" s="36">
        <v>11</v>
      </c>
      <c r="B12" s="36" t="s">
        <v>324</v>
      </c>
      <c r="C12" s="36" t="s">
        <v>325</v>
      </c>
      <c r="D12" s="37" t="s">
        <v>305</v>
      </c>
      <c r="E12" s="35" t="s">
        <v>389</v>
      </c>
      <c r="F12" s="41">
        <v>12</v>
      </c>
      <c r="G12" s="36">
        <v>4</v>
      </c>
    </row>
    <row r="13" spans="1:7" ht="25" customHeight="1">
      <c r="A13" s="36">
        <v>12</v>
      </c>
      <c r="B13" s="36" t="s">
        <v>326</v>
      </c>
      <c r="C13" s="36" t="s">
        <v>327</v>
      </c>
      <c r="D13" s="37" t="s">
        <v>305</v>
      </c>
      <c r="E13" s="35" t="s">
        <v>389</v>
      </c>
      <c r="F13" s="41">
        <v>77</v>
      </c>
      <c r="G13" s="36">
        <v>5</v>
      </c>
    </row>
    <row r="14" spans="1:7" ht="25" customHeight="1">
      <c r="A14" s="36">
        <v>13</v>
      </c>
      <c r="B14" s="36" t="s">
        <v>328</v>
      </c>
      <c r="C14" s="36" t="s">
        <v>329</v>
      </c>
      <c r="D14" s="37" t="s">
        <v>305</v>
      </c>
      <c r="E14" s="35" t="s">
        <v>389</v>
      </c>
      <c r="F14" s="41">
        <v>13</v>
      </c>
      <c r="G14" s="36">
        <v>2</v>
      </c>
    </row>
    <row r="15" spans="1:7" ht="25" customHeight="1">
      <c r="A15" s="36">
        <v>14</v>
      </c>
      <c r="B15" s="36" t="s">
        <v>330</v>
      </c>
      <c r="C15" s="36" t="s">
        <v>331</v>
      </c>
      <c r="D15" s="37" t="s">
        <v>305</v>
      </c>
      <c r="E15" s="35" t="s">
        <v>389</v>
      </c>
      <c r="F15" s="41">
        <v>33</v>
      </c>
      <c r="G15" s="36">
        <v>6</v>
      </c>
    </row>
    <row r="16" spans="1:7" ht="25" customHeight="1">
      <c r="A16" s="36">
        <v>15</v>
      </c>
      <c r="B16" s="36" t="s">
        <v>332</v>
      </c>
      <c r="C16" s="36" t="s">
        <v>333</v>
      </c>
      <c r="D16" s="37" t="s">
        <v>305</v>
      </c>
      <c r="E16" s="35" t="s">
        <v>389</v>
      </c>
      <c r="F16" s="41">
        <v>50</v>
      </c>
      <c r="G16" s="36">
        <v>6</v>
      </c>
    </row>
    <row r="17" spans="1:7" ht="25" customHeight="1">
      <c r="A17" s="36">
        <v>16</v>
      </c>
      <c r="B17" s="36" t="s">
        <v>334</v>
      </c>
      <c r="C17" s="36" t="s">
        <v>335</v>
      </c>
      <c r="D17" s="37" t="s">
        <v>305</v>
      </c>
      <c r="E17" s="35" t="s">
        <v>389</v>
      </c>
      <c r="F17" s="41">
        <v>28</v>
      </c>
      <c r="G17" s="36">
        <v>7</v>
      </c>
    </row>
    <row r="18" spans="1:7" ht="25" customHeight="1">
      <c r="A18" s="36">
        <v>17</v>
      </c>
      <c r="B18" s="36" t="s">
        <v>336</v>
      </c>
      <c r="C18" s="36" t="s">
        <v>337</v>
      </c>
      <c r="D18" s="37" t="s">
        <v>338</v>
      </c>
      <c r="E18" s="35" t="s">
        <v>390</v>
      </c>
      <c r="F18" s="41"/>
      <c r="G18" s="36"/>
    </row>
    <row r="19" spans="1:7" ht="25" customHeight="1">
      <c r="A19" s="36">
        <v>18</v>
      </c>
      <c r="B19" s="36" t="s">
        <v>336</v>
      </c>
      <c r="C19" s="36" t="s">
        <v>337</v>
      </c>
      <c r="D19" s="37" t="s">
        <v>339</v>
      </c>
      <c r="E19" s="35" t="s">
        <v>390</v>
      </c>
      <c r="F19" s="41"/>
      <c r="G19" s="36"/>
    </row>
    <row r="20" spans="1:7" ht="25" customHeight="1">
      <c r="A20" s="36">
        <v>19</v>
      </c>
      <c r="B20" s="36" t="s">
        <v>336</v>
      </c>
      <c r="C20" s="36" t="s">
        <v>337</v>
      </c>
      <c r="D20" s="37" t="s">
        <v>340</v>
      </c>
      <c r="E20" s="35" t="s">
        <v>390</v>
      </c>
      <c r="F20" s="41"/>
      <c r="G20" s="36"/>
    </row>
    <row r="21" spans="1:7" ht="25" customHeight="1">
      <c r="A21" s="36">
        <v>20</v>
      </c>
      <c r="B21" s="36" t="s">
        <v>336</v>
      </c>
      <c r="C21" s="36" t="s">
        <v>337</v>
      </c>
      <c r="D21" s="37" t="s">
        <v>341</v>
      </c>
      <c r="E21" s="35" t="s">
        <v>390</v>
      </c>
      <c r="F21" s="41"/>
      <c r="G21" s="36"/>
    </row>
    <row r="22" spans="1:7" ht="25" customHeight="1">
      <c r="A22" s="36">
        <v>21</v>
      </c>
      <c r="B22" s="36" t="s">
        <v>336</v>
      </c>
      <c r="C22" s="36" t="s">
        <v>337</v>
      </c>
      <c r="D22" s="37" t="s">
        <v>342</v>
      </c>
      <c r="E22" s="35" t="s">
        <v>390</v>
      </c>
      <c r="F22" s="41"/>
      <c r="G22" s="36"/>
    </row>
    <row r="23" spans="1:7" ht="25" customHeight="1">
      <c r="A23" s="36">
        <v>22</v>
      </c>
      <c r="B23" s="36" t="s">
        <v>343</v>
      </c>
      <c r="C23" s="36" t="s">
        <v>344</v>
      </c>
      <c r="D23" s="37" t="s">
        <v>338</v>
      </c>
      <c r="E23" s="35" t="s">
        <v>390</v>
      </c>
      <c r="F23" s="41"/>
      <c r="G23" s="36"/>
    </row>
    <row r="24" spans="1:7" ht="25" customHeight="1">
      <c r="A24" s="36">
        <v>23</v>
      </c>
      <c r="B24" s="36" t="s">
        <v>343</v>
      </c>
      <c r="C24" s="36" t="s">
        <v>344</v>
      </c>
      <c r="D24" s="37" t="s">
        <v>339</v>
      </c>
      <c r="E24" s="35" t="s">
        <v>390</v>
      </c>
      <c r="F24" s="41"/>
      <c r="G24" s="36"/>
    </row>
    <row r="25" spans="1:7" ht="25" customHeight="1">
      <c r="A25" s="36">
        <v>24</v>
      </c>
      <c r="B25" s="36" t="s">
        <v>343</v>
      </c>
      <c r="C25" s="36" t="s">
        <v>344</v>
      </c>
      <c r="D25" s="37" t="s">
        <v>340</v>
      </c>
      <c r="E25" s="35" t="s">
        <v>390</v>
      </c>
      <c r="F25" s="41"/>
      <c r="G25" s="36"/>
    </row>
    <row r="26" spans="1:7" ht="25" customHeight="1">
      <c r="A26" s="36">
        <v>25</v>
      </c>
      <c r="B26" s="36" t="s">
        <v>343</v>
      </c>
      <c r="C26" s="36" t="s">
        <v>344</v>
      </c>
      <c r="D26" s="37" t="s">
        <v>341</v>
      </c>
      <c r="E26" s="35" t="s">
        <v>390</v>
      </c>
      <c r="F26" s="41"/>
      <c r="G26" s="36"/>
    </row>
    <row r="27" spans="1:7" ht="25" customHeight="1">
      <c r="A27" s="36">
        <v>26</v>
      </c>
      <c r="B27" s="36" t="s">
        <v>343</v>
      </c>
      <c r="C27" s="36" t="s">
        <v>344</v>
      </c>
      <c r="D27" s="37" t="s">
        <v>342</v>
      </c>
      <c r="E27" s="35" t="s">
        <v>390</v>
      </c>
      <c r="F27" s="41"/>
      <c r="G27" s="36"/>
    </row>
    <row r="28" spans="1:7" ht="25" customHeight="1"/>
    <row r="29" spans="1:7" ht="25" customHeight="1"/>
    <row r="30" spans="1:7" ht="25" customHeight="1"/>
    <row r="31" spans="1:7" ht="25" customHeight="1"/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>
      <selection activeCell="C21" sqref="C21:C37"/>
    </sheetView>
  </sheetViews>
  <sheetFormatPr baseColWidth="10" defaultRowHeight="16"/>
  <cols>
    <col min="1" max="1" width="15.1640625" style="3" customWidth="1"/>
    <col min="2" max="2" width="33.33203125" style="3" customWidth="1"/>
    <col min="3" max="3" width="19" style="2" customWidth="1"/>
    <col min="4" max="4" width="34.83203125" style="3" customWidth="1"/>
    <col min="5" max="5" width="30" style="3" customWidth="1"/>
    <col min="6" max="6" width="24.83203125" style="2" customWidth="1"/>
  </cols>
  <sheetData>
    <row r="1" spans="1:6" ht="25" customHeight="1">
      <c r="A1" t="s">
        <v>345</v>
      </c>
      <c r="B1" t="s">
        <v>346</v>
      </c>
      <c r="C1" s="2" t="s">
        <v>347</v>
      </c>
      <c r="D1" t="s">
        <v>348</v>
      </c>
      <c r="E1" t="s">
        <v>299</v>
      </c>
      <c r="F1" s="2" t="s">
        <v>349</v>
      </c>
    </row>
    <row r="2" spans="1:6" ht="25" customHeight="1">
      <c r="A2" t="s">
        <v>350</v>
      </c>
      <c r="B2" t="s">
        <v>351</v>
      </c>
      <c r="C2" s="2" t="s">
        <v>305</v>
      </c>
      <c r="D2" t="str">
        <f>配置项清单!B2</f>
        <v>相控阵数字样机软件研制任务书</v>
      </c>
      <c r="E2" t="str">
        <f>配置项清单!C2</f>
        <v>ZDPX03046/0.0-YZRW</v>
      </c>
      <c r="F2" s="2" t="str">
        <f>配置项清单!D4</f>
        <v>V1.0</v>
      </c>
    </row>
    <row r="3" spans="1:6" ht="25" customHeight="1">
      <c r="A3" t="s">
        <v>352</v>
      </c>
      <c r="B3" t="s">
        <v>353</v>
      </c>
      <c r="C3" s="2" t="s">
        <v>305</v>
      </c>
      <c r="D3" t="str">
        <f>配置项清单!B8</f>
        <v>相控阵数字样机软件需求规格说明</v>
      </c>
      <c r="E3" t="str">
        <f>配置项清单!C8</f>
        <v>ZDPX03046/0.0-RJXG</v>
      </c>
      <c r="F3" s="2" t="str">
        <f>配置项清单!D5</f>
        <v>V1.0</v>
      </c>
    </row>
    <row r="4" spans="1:6" ht="25" customHeight="1">
      <c r="A4" s="38" t="s">
        <v>354</v>
      </c>
      <c r="B4" s="38" t="s">
        <v>355</v>
      </c>
      <c r="C4" s="38" t="s">
        <v>305</v>
      </c>
      <c r="D4" t="str">
        <f>配置项清单!B2</f>
        <v>相控阵数字样机软件研制任务书</v>
      </c>
      <c r="E4" t="str">
        <f>配置项清单!C2</f>
        <v>ZDPX03046/0.0-YZRW</v>
      </c>
      <c r="F4" s="2" t="str">
        <f>配置项清单!D2</f>
        <v>V1.0</v>
      </c>
    </row>
    <row r="5" spans="1:6" ht="25" customHeight="1">
      <c r="A5" s="39"/>
      <c r="B5" s="39"/>
      <c r="C5" s="38"/>
      <c r="D5" t="str">
        <f>配置项清单!B4</f>
        <v>相控阵数字样机软件开发计划</v>
      </c>
      <c r="E5" t="str">
        <f>配置项清单!C4</f>
        <v>ZDPX03046/0.0-KFJH</v>
      </c>
      <c r="F5" s="2" t="str">
        <f>配置项清单!D4</f>
        <v>V1.0</v>
      </c>
    </row>
    <row r="6" spans="1:6" ht="25" customHeight="1">
      <c r="A6" s="39"/>
      <c r="B6" s="39"/>
      <c r="C6" s="38"/>
      <c r="D6" t="str">
        <f>配置项清单!B5</f>
        <v>相控阵数字样机软件测量分析计划</v>
      </c>
      <c r="E6" t="str">
        <f>配置项清单!C5</f>
        <v>ZDPX03046/0.0-CLJH</v>
      </c>
      <c r="F6" s="2" t="str">
        <f>配置项清单!D5</f>
        <v>V1.0</v>
      </c>
    </row>
    <row r="7" spans="1:6" ht="25" customHeight="1">
      <c r="A7" s="39"/>
      <c r="B7" s="39"/>
      <c r="C7" s="38"/>
      <c r="D7" t="str">
        <f>配置项清单!B6</f>
        <v>相控阵数字样机软件质量保证计划</v>
      </c>
      <c r="E7" t="str">
        <f>配置项清单!C6</f>
        <v>ZDPX03046/0.0-ZBJH</v>
      </c>
      <c r="F7" s="2" t="str">
        <f>配置项清单!D6</f>
        <v>V1.0</v>
      </c>
    </row>
    <row r="8" spans="1:6" ht="25" customHeight="1">
      <c r="A8" s="39"/>
      <c r="B8" s="39"/>
      <c r="C8" s="38"/>
      <c r="D8" t="str">
        <f>配置项清单!B7</f>
        <v>相控阵数字样机软件配置管理计划</v>
      </c>
      <c r="E8" t="str">
        <f>配置项清单!C7</f>
        <v>ZDPX03046/0.0-PGJH</v>
      </c>
      <c r="F8" s="2" t="str">
        <f>配置项清单!D7</f>
        <v>V1.0</v>
      </c>
    </row>
    <row r="9" spans="1:6" ht="25" customHeight="1">
      <c r="A9" s="39"/>
      <c r="B9" s="39"/>
      <c r="C9" s="38"/>
      <c r="D9" t="str">
        <f>配置项清单!B8</f>
        <v>相控阵数字样机软件需求规格说明</v>
      </c>
      <c r="E9" t="str">
        <f>配置项清单!C8</f>
        <v>ZDPX03046/0.0-RJXG</v>
      </c>
      <c r="F9" s="2" t="str">
        <f>配置项清单!D8</f>
        <v>V1.0</v>
      </c>
    </row>
    <row r="10" spans="1:6" ht="25" customHeight="1">
      <c r="A10" s="39"/>
      <c r="B10" s="39"/>
      <c r="C10" s="38"/>
      <c r="D10" t="str">
        <f>配置项清单!B9</f>
        <v>相控阵数字样机软件设计说明</v>
      </c>
      <c r="E10" t="str">
        <f>配置项清单!C9</f>
        <v>ZDPX03046/0.0-RJSJ</v>
      </c>
      <c r="F10" s="2" t="str">
        <f>配置项清单!D9</f>
        <v>V1.0</v>
      </c>
    </row>
    <row r="11" spans="1:6" ht="25" customHeight="1">
      <c r="A11" s="39"/>
      <c r="B11" s="39"/>
      <c r="C11" s="38"/>
      <c r="D11" t="str">
        <f>配置项清单!B10</f>
        <v>相控阵数字样机软件接口设计说明</v>
      </c>
      <c r="E11" t="str">
        <f>配置项清单!C10</f>
        <v>ZDPX03046/0.0-RJJK</v>
      </c>
      <c r="F11" s="2" t="str">
        <f>配置项清单!D10</f>
        <v>V1.0</v>
      </c>
    </row>
    <row r="12" spans="1:6" ht="25" customHeight="1">
      <c r="A12" s="39"/>
      <c r="B12" s="39"/>
      <c r="C12" s="38"/>
      <c r="D12" t="str">
        <f>配置项清单!B11</f>
        <v>相控阵数字样机软件单元测试计划</v>
      </c>
      <c r="E12" t="str">
        <f>配置项清单!C11</f>
        <v>ZDPX03046/0.0-DCJH</v>
      </c>
      <c r="F12" s="2" t="str">
        <f>配置项清单!D11</f>
        <v>V1.0</v>
      </c>
    </row>
    <row r="13" spans="1:6" ht="25" customHeight="1">
      <c r="A13" s="39"/>
      <c r="B13" s="39"/>
      <c r="C13" s="38"/>
      <c r="D13" t="str">
        <f>配置项清单!B12</f>
        <v>相控阵数字样机软件单元测试报告</v>
      </c>
      <c r="E13" t="str">
        <f>配置项清单!C12</f>
        <v>ZDPX03046/0.0-DCBG</v>
      </c>
      <c r="F13" s="2" t="str">
        <f>配置项清单!D12</f>
        <v>V1.0</v>
      </c>
    </row>
    <row r="14" spans="1:6" ht="25" customHeight="1">
      <c r="A14" s="39"/>
      <c r="B14" s="39"/>
      <c r="C14" s="38"/>
      <c r="D14" t="str">
        <f>配置项清单!B13</f>
        <v>相控阵数字样机软件用户手册</v>
      </c>
      <c r="E14" t="str">
        <f>配置项清单!C13</f>
        <v>ZDPX03046/0.0-RJSC</v>
      </c>
      <c r="F14" s="2" t="str">
        <f>配置项清单!D13</f>
        <v>V1.0</v>
      </c>
    </row>
    <row r="15" spans="1:6" ht="25" customHeight="1">
      <c r="A15" s="39"/>
      <c r="B15" s="39"/>
      <c r="C15" s="38"/>
      <c r="D15" t="str">
        <f>配置项清单!B14</f>
        <v>相控阵数字样机软件测试计划</v>
      </c>
      <c r="E15" t="str">
        <f>配置项清单!C14</f>
        <v>ZDPX03046/0.0-HCJH</v>
      </c>
      <c r="F15" s="2" t="str">
        <f>配置项清单!D14</f>
        <v>V1.0</v>
      </c>
    </row>
    <row r="16" spans="1:6" ht="25" customHeight="1">
      <c r="A16" s="39"/>
      <c r="B16" s="39"/>
      <c r="C16" s="38"/>
      <c r="D16" t="str">
        <f>配置项清单!B15</f>
        <v>相控阵数字样机软件测试说明</v>
      </c>
      <c r="E16" t="str">
        <f>配置项清单!C15</f>
        <v>ZDPX03046/0.0-HCSM</v>
      </c>
      <c r="F16" s="2" t="str">
        <f>配置项清单!D15</f>
        <v>V1.0</v>
      </c>
    </row>
    <row r="17" spans="1:6" ht="25" customHeight="1">
      <c r="A17" s="39"/>
      <c r="B17" s="39"/>
      <c r="C17" s="38"/>
      <c r="D17" t="str">
        <f>配置项清单!B16</f>
        <v>相控阵数字样机软件测试报告</v>
      </c>
      <c r="E17" t="str">
        <f>配置项清单!C16</f>
        <v>ZDPX03046/0.0-HCBG</v>
      </c>
      <c r="F17" s="2" t="str">
        <f>配置项清单!D16</f>
        <v>V1.0</v>
      </c>
    </row>
    <row r="18" spans="1:6" ht="25" customHeight="1">
      <c r="A18" s="39"/>
      <c r="B18" s="39"/>
      <c r="C18" s="38"/>
      <c r="D18" t="str">
        <f>配置项清单!B17</f>
        <v>相控阵数字样机软件研制总结报告</v>
      </c>
      <c r="E18" t="str">
        <f>配置项清单!C17</f>
        <v>ZDPX03046/0.0-YZBG</v>
      </c>
      <c r="F18" s="2" t="str">
        <f>配置项清单!D17</f>
        <v>V1.0</v>
      </c>
    </row>
    <row r="19" spans="1:6" ht="25" customHeight="1">
      <c r="A19" s="39"/>
      <c r="B19" s="39"/>
      <c r="C19" s="38"/>
      <c r="D19" t="str">
        <f>配置项清单!B21</f>
        <v>相控阵数字样机软件源代码</v>
      </c>
      <c r="E19" t="str">
        <f>配置项清单!C21</f>
        <v>ZDPX03046/0.0-SRC</v>
      </c>
      <c r="F19" s="2" t="str">
        <f>配置项清单!D21</f>
        <v>V2.0.0</v>
      </c>
    </row>
    <row r="20" spans="1:6" ht="25" customHeight="1">
      <c r="A20" s="39"/>
      <c r="B20" s="39"/>
      <c r="C20" s="38"/>
      <c r="D20" t="str">
        <f>配置项清单!B26</f>
        <v>相控阵数字样机软件可执行程序</v>
      </c>
      <c r="E20" t="str">
        <f>配置项清单!C26</f>
        <v>ZDPX03046/0.0-EXE</v>
      </c>
      <c r="F20" s="2" t="str">
        <f>配置项清单!D26</f>
        <v>V2.0.0</v>
      </c>
    </row>
    <row r="21" spans="1:6" ht="25" customHeight="1">
      <c r="A21" s="38" t="s">
        <v>356</v>
      </c>
      <c r="B21" s="38" t="s">
        <v>357</v>
      </c>
      <c r="C21" s="38" t="s">
        <v>305</v>
      </c>
      <c r="D21" t="str">
        <f>配置项清单!B2</f>
        <v>相控阵数字样机软件研制任务书</v>
      </c>
      <c r="E21" t="str">
        <f>配置项清单!C2</f>
        <v>ZDPX03046/0.0-YZRW</v>
      </c>
      <c r="F21" s="2" t="str">
        <f>配置项清单!D2</f>
        <v>V1.0</v>
      </c>
    </row>
    <row r="22" spans="1:6" ht="25" customHeight="1">
      <c r="A22" s="39"/>
      <c r="B22" s="39"/>
      <c r="C22" s="38"/>
      <c r="D22" t="str">
        <f>配置项清单!B4</f>
        <v>相控阵数字样机软件开发计划</v>
      </c>
      <c r="E22" t="str">
        <f>配置项清单!C4</f>
        <v>ZDPX03046/0.0-KFJH</v>
      </c>
      <c r="F22" s="2" t="str">
        <f>配置项清单!D4</f>
        <v>V1.0</v>
      </c>
    </row>
    <row r="23" spans="1:6" ht="25" customHeight="1">
      <c r="A23" s="39"/>
      <c r="B23" s="39"/>
      <c r="C23" s="38"/>
      <c r="D23" t="str">
        <f>配置项清单!B5</f>
        <v>相控阵数字样机软件测量分析计划</v>
      </c>
      <c r="E23" t="str">
        <f>配置项清单!C5</f>
        <v>ZDPX03046/0.0-CLJH</v>
      </c>
      <c r="F23" s="2" t="str">
        <f>配置项清单!D5</f>
        <v>V1.0</v>
      </c>
    </row>
    <row r="24" spans="1:6" ht="25" customHeight="1">
      <c r="A24" s="39"/>
      <c r="B24" s="39"/>
      <c r="C24" s="38"/>
      <c r="D24" t="str">
        <f>配置项清单!B6</f>
        <v>相控阵数字样机软件质量保证计划</v>
      </c>
      <c r="E24" t="str">
        <f>配置项清单!C6</f>
        <v>ZDPX03046/0.0-ZBJH</v>
      </c>
      <c r="F24" s="2" t="str">
        <f>配置项清单!D6</f>
        <v>V1.0</v>
      </c>
    </row>
    <row r="25" spans="1:6" ht="25" customHeight="1">
      <c r="A25" s="39"/>
      <c r="B25" s="39"/>
      <c r="C25" s="38"/>
      <c r="D25" t="str">
        <f>配置项清单!B7</f>
        <v>相控阵数字样机软件配置管理计划</v>
      </c>
      <c r="E25" t="str">
        <f>配置项清单!C7</f>
        <v>ZDPX03046/0.0-PGJH</v>
      </c>
      <c r="F25" s="2" t="str">
        <f>配置项清单!D7</f>
        <v>V1.0</v>
      </c>
    </row>
    <row r="26" spans="1:6" ht="25" customHeight="1">
      <c r="A26" s="39"/>
      <c r="B26" s="39"/>
      <c r="C26" s="38"/>
      <c r="D26" t="str">
        <f>配置项清单!B8</f>
        <v>相控阵数字样机软件需求规格说明</v>
      </c>
      <c r="E26" t="str">
        <f>配置项清单!C8</f>
        <v>ZDPX03046/0.0-RJXG</v>
      </c>
      <c r="F26" s="2" t="str">
        <f>配置项清单!D8</f>
        <v>V1.0</v>
      </c>
    </row>
    <row r="27" spans="1:6" ht="25" customHeight="1">
      <c r="A27" s="39"/>
      <c r="B27" s="39"/>
      <c r="C27" s="38"/>
      <c r="D27" t="str">
        <f>配置项清单!B9</f>
        <v>相控阵数字样机软件设计说明</v>
      </c>
      <c r="E27" t="str">
        <f>配置项清单!C9</f>
        <v>ZDPX03046/0.0-RJSJ</v>
      </c>
      <c r="F27" s="2" t="str">
        <f>配置项清单!D9</f>
        <v>V1.0</v>
      </c>
    </row>
    <row r="28" spans="1:6" ht="25" customHeight="1">
      <c r="A28" s="39"/>
      <c r="B28" s="39"/>
      <c r="C28" s="38"/>
      <c r="D28" t="str">
        <f>配置项清单!B10</f>
        <v>相控阵数字样机软件接口设计说明</v>
      </c>
      <c r="E28" t="str">
        <f>配置项清单!C10</f>
        <v>ZDPX03046/0.0-RJJK</v>
      </c>
      <c r="F28" s="2" t="str">
        <f>配置项清单!D10</f>
        <v>V1.0</v>
      </c>
    </row>
    <row r="29" spans="1:6" ht="25" customHeight="1">
      <c r="A29" s="39"/>
      <c r="B29" s="39"/>
      <c r="C29" s="38"/>
      <c r="D29" t="str">
        <f>配置项清单!B11</f>
        <v>相控阵数字样机软件单元测试计划</v>
      </c>
      <c r="E29" t="str">
        <f>配置项清单!C11</f>
        <v>ZDPX03046/0.0-DCJH</v>
      </c>
      <c r="F29" s="2" t="str">
        <f>配置项清单!D11</f>
        <v>V1.0</v>
      </c>
    </row>
    <row r="30" spans="1:6" ht="25" customHeight="1">
      <c r="A30" s="39"/>
      <c r="B30" s="39"/>
      <c r="C30" s="38"/>
      <c r="D30" t="str">
        <f>配置项清单!B12</f>
        <v>相控阵数字样机软件单元测试报告</v>
      </c>
      <c r="E30" t="str">
        <f>配置项清单!C12</f>
        <v>ZDPX03046/0.0-DCBG</v>
      </c>
      <c r="F30" s="2" t="str">
        <f>配置项清单!D12</f>
        <v>V1.0</v>
      </c>
    </row>
    <row r="31" spans="1:6" ht="25" customHeight="1">
      <c r="A31" s="39"/>
      <c r="B31" s="39"/>
      <c r="C31" s="38"/>
      <c r="D31" t="str">
        <f>配置项清单!B13</f>
        <v>相控阵数字样机软件用户手册</v>
      </c>
      <c r="E31" t="str">
        <f>配置项清单!C13</f>
        <v>ZDPX03046/0.0-RJSC</v>
      </c>
      <c r="F31" s="2" t="str">
        <f>配置项清单!D13</f>
        <v>V1.0</v>
      </c>
    </row>
    <row r="32" spans="1:6" ht="25" customHeight="1">
      <c r="A32" s="39"/>
      <c r="B32" s="39"/>
      <c r="C32" s="38"/>
      <c r="D32" t="str">
        <f>配置项清单!B14</f>
        <v>相控阵数字样机软件测试计划</v>
      </c>
      <c r="E32" t="str">
        <f>配置项清单!C14</f>
        <v>ZDPX03046/0.0-HCJH</v>
      </c>
      <c r="F32" s="2" t="str">
        <f>配置项清单!D14</f>
        <v>V1.0</v>
      </c>
    </row>
    <row r="33" spans="1:6" ht="25" customHeight="1">
      <c r="A33" s="39"/>
      <c r="B33" s="39"/>
      <c r="C33" s="38"/>
      <c r="D33" t="str">
        <f>配置项清单!B15</f>
        <v>相控阵数字样机软件测试说明</v>
      </c>
      <c r="E33" t="str">
        <f>配置项清单!C15</f>
        <v>ZDPX03046/0.0-HCSM</v>
      </c>
      <c r="F33" s="2" t="str">
        <f>配置项清单!D15</f>
        <v>V1.0</v>
      </c>
    </row>
    <row r="34" spans="1:6" ht="25" customHeight="1">
      <c r="A34" s="39"/>
      <c r="B34" s="39"/>
      <c r="C34" s="38"/>
      <c r="D34" t="str">
        <f>配置项清单!B16</f>
        <v>相控阵数字样机软件测试报告</v>
      </c>
      <c r="E34" t="str">
        <f>配置项清单!C16</f>
        <v>ZDPX03046/0.0-HCBG</v>
      </c>
      <c r="F34" s="2" t="str">
        <f>配置项清单!D16</f>
        <v>V1.0</v>
      </c>
    </row>
    <row r="35" spans="1:6" ht="25" customHeight="1">
      <c r="A35" s="39"/>
      <c r="B35" s="39"/>
      <c r="C35" s="38"/>
      <c r="D35" t="str">
        <f>配置项清单!B17</f>
        <v>相控阵数字样机软件研制总结报告</v>
      </c>
      <c r="E35" t="str">
        <f>配置项清单!C17</f>
        <v>ZDPX03046/0.0-YZBG</v>
      </c>
      <c r="F35" s="2" t="str">
        <f>配置项清单!D17</f>
        <v>V1.0</v>
      </c>
    </row>
    <row r="36" spans="1:6" ht="25" customHeight="1">
      <c r="A36" s="39"/>
      <c r="B36" s="39"/>
      <c r="C36" s="38"/>
      <c r="D36" t="str">
        <f>配置项清单!B22</f>
        <v>相控阵数字样机软件源代码</v>
      </c>
      <c r="E36" t="str">
        <f>配置项清单!C22</f>
        <v>ZDPX03046/0.0-SRC</v>
      </c>
      <c r="F36" s="2" t="str">
        <f>配置项清单!D22</f>
        <v>V3.0.0</v>
      </c>
    </row>
    <row r="37" spans="1:6" ht="25" customHeight="1">
      <c r="A37" s="39"/>
      <c r="B37" s="39"/>
      <c r="C37" s="38"/>
      <c r="D37" t="str">
        <f>配置项清单!B27</f>
        <v>相控阵数字样机软件可执行程序</v>
      </c>
      <c r="E37" t="str">
        <f>配置项清单!C27</f>
        <v>ZDPX03046/0.0-EXE</v>
      </c>
      <c r="F37" s="2" t="str">
        <f>配置项清单!D27</f>
        <v>V3.0.0</v>
      </c>
    </row>
    <row r="38" spans="1:6" ht="25" customHeight="1"/>
    <row r="39" spans="1:6" ht="25" customHeight="1"/>
    <row r="40" spans="1:6" ht="25" customHeight="1"/>
    <row r="41" spans="1:6" ht="25" customHeight="1"/>
    <row r="42" spans="1:6" ht="25" customHeight="1"/>
    <row r="43" spans="1:6" ht="25" customHeight="1"/>
  </sheetData>
  <mergeCells count="6">
    <mergeCell ref="C4:C20"/>
    <mergeCell ref="A4:A20"/>
    <mergeCell ref="B21:B37"/>
    <mergeCell ref="A21:A37"/>
    <mergeCell ref="C21:C37"/>
    <mergeCell ref="B4:B20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B2" sqref="B2:B5"/>
    </sheetView>
  </sheetViews>
  <sheetFormatPr baseColWidth="10" defaultColWidth="8.83203125" defaultRowHeight="16"/>
  <cols>
    <col min="1" max="1" width="18.1640625" style="3" customWidth="1"/>
    <col min="2" max="2" width="20" style="3" customWidth="1"/>
    <col min="3" max="3" width="16" style="3" customWidth="1"/>
  </cols>
  <sheetData>
    <row r="1" spans="1:3" ht="25" customHeight="1">
      <c r="A1" s="4" t="s">
        <v>358</v>
      </c>
      <c r="B1" s="4" t="s">
        <v>359</v>
      </c>
      <c r="C1" s="4" t="s">
        <v>360</v>
      </c>
    </row>
    <row r="2" spans="1:3">
      <c r="A2" s="5">
        <v>1</v>
      </c>
      <c r="B2" s="5" t="s">
        <v>391</v>
      </c>
      <c r="C2" s="5">
        <v>1721</v>
      </c>
    </row>
    <row r="3" spans="1:3">
      <c r="A3" s="5">
        <v>2</v>
      </c>
      <c r="B3" s="5" t="s">
        <v>392</v>
      </c>
      <c r="C3" s="5">
        <v>2092</v>
      </c>
    </row>
    <row r="4" spans="1:3">
      <c r="A4" s="5">
        <v>3</v>
      </c>
      <c r="B4" s="5" t="s">
        <v>393</v>
      </c>
      <c r="C4" s="5">
        <f>ROUND(7113/2,0)</f>
        <v>3557</v>
      </c>
    </row>
    <row r="5" spans="1:3">
      <c r="A5" s="5">
        <v>4</v>
      </c>
      <c r="B5" s="5" t="s">
        <v>394</v>
      </c>
      <c r="C5" s="5">
        <v>1887</v>
      </c>
    </row>
    <row r="6" spans="1:3">
      <c r="A6" s="5"/>
      <c r="B6" s="5"/>
      <c r="C6" s="5"/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项目信息</vt:lpstr>
      <vt:lpstr>项目进度计划</vt:lpstr>
      <vt:lpstr>配置项清单</vt:lpstr>
      <vt:lpstr>基线组成</vt:lpstr>
      <vt:lpstr>代码模块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sophia.content@outlook.com</dc:creator>
  <cp:lastModifiedBy>sophia.content@outlook.com</cp:lastModifiedBy>
  <dcterms:created xsi:type="dcterms:W3CDTF">2026-05-29T02:38:38Z</dcterms:created>
  <dcterms:modified xsi:type="dcterms:W3CDTF">2026-07-02T06:09:02Z</dcterms:modified>
</cp:coreProperties>
</file>